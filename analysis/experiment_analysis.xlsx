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b75ba71599f25d/Dokumen/Masai School Sessions/CAPSTONE/Part 2/part2_kpi_experiment/analysis/"/>
    </mc:Choice>
  </mc:AlternateContent>
  <xr:revisionPtr revIDLastSave="11" documentId="11_EB55F8478A52AA5A635EB5A0B06F43BFBE0FB6E9" xr6:coauthVersionLast="47" xr6:coauthVersionMax="47" xr10:uidLastSave="{C6B452E1-6911-47DE-AB2C-506D20E56313}"/>
  <bookViews>
    <workbookView xWindow="-98" yWindow="-98" windowWidth="21795" windowHeight="12975" xr2:uid="{00000000-000D-0000-FFFF-FFFF00000000}"/>
  </bookViews>
  <sheets>
    <sheet name="Raw Data" sheetId="1" r:id="rId1"/>
    <sheet name="Quality Checks" sheetId="2" r:id="rId2"/>
    <sheet name="Clean Data" sheetId="3" r:id="rId3"/>
  </sheets>
  <definedNames>
    <definedName name="_xlnm._FilterDatabase" localSheetId="2" hidden="1">'Clean Data'!$A$1:$P$1401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415" i="3"/>
  <c r="B1414" i="3"/>
  <c r="B1413" i="3"/>
  <c r="B1412" i="3"/>
  <c r="B1411" i="3"/>
  <c r="B1410" i="3"/>
  <c r="B1409" i="3"/>
  <c r="B1408" i="3"/>
  <c r="B1407" i="3"/>
  <c r="B1406" i="3"/>
  <c r="B1405" i="3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<sst xmlns="http://schemas.openxmlformats.org/spreadsheetml/2006/main" count="16845" uniqueCount="1478">
  <si>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</si>
  <si>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</si>
  <si>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</si>
  <si>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</si>
  <si>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</si>
  <si>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</si>
  <si>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</si>
  <si>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</si>
  <si>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</si>
  <si>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</si>
  <si>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</si>
  <si>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</si>
  <si>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</si>
  <si>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</si>
  <si>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</si>
  <si>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</si>
  <si>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</si>
  <si>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</si>
  <si>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</si>
  <si>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</si>
  <si>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</si>
  <si>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</si>
  <si>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</si>
  <si>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</si>
  <si>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</si>
  <si>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</si>
  <si>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</si>
  <si>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</si>
  <si>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</si>
  <si>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</si>
  <si>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</si>
  <si>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</si>
  <si>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</si>
  <si>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</si>
  <si>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</si>
  <si>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</si>
  <si>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</si>
  <si>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</si>
  <si>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</si>
  <si>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</si>
  <si>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</si>
  <si>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</si>
  <si>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</si>
  <si>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</si>
  <si>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</si>
  <si>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</si>
  <si>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</si>
  <si>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</si>
  <si>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</si>
  <si>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</si>
  <si>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</si>
  <si>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</si>
  <si>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</si>
  <si>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</si>
  <si>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</si>
  <si>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</si>
  <si>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</si>
  <si>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</si>
  <si>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</si>
  <si>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</si>
  <si>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</si>
  <si>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</si>
  <si>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</si>
  <si>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</si>
  <si>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</si>
  <si>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</si>
  <si>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</si>
  <si>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</si>
  <si>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</si>
  <si>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</si>
  <si>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</si>
  <si>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</si>
  <si>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</si>
  <si>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</si>
  <si>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</si>
  <si>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</si>
  <si>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</si>
  <si>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</si>
  <si>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</si>
  <si>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</si>
  <si>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</si>
  <si>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</si>
  <si>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</si>
  <si>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</si>
  <si>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</si>
  <si>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</si>
  <si>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</si>
  <si>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</si>
  <si>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</si>
  <si>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</si>
  <si>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</si>
  <si>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</si>
  <si>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</si>
  <si>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</si>
  <si>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</si>
  <si>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</si>
  <si>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</si>
  <si>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</si>
  <si>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</si>
  <si>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</si>
  <si>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</si>
  <si>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</si>
  <si>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</si>
  <si>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</si>
  <si>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</si>
  <si>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</si>
  <si>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</si>
  <si>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</si>
  <si>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</si>
  <si>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</si>
  <si>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</si>
  <si>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</si>
  <si>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</si>
  <si>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</si>
  <si>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</si>
  <si>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</si>
  <si>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</si>
  <si>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</si>
  <si>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</si>
  <si>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</si>
  <si>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</si>
  <si>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</si>
  <si>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</si>
  <si>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</si>
  <si>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</si>
  <si>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</si>
  <si>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</si>
  <si>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</si>
  <si>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</si>
  <si>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</si>
  <si>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</si>
  <si>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</si>
  <si>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</si>
  <si>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</si>
  <si>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</si>
  <si>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</si>
  <si>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</si>
  <si>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</si>
  <si>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</si>
  <si>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</si>
  <si>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</si>
  <si>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</si>
  <si>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</si>
  <si>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</si>
  <si>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</si>
  <si>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</si>
  <si>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</si>
  <si>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</si>
  <si>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</si>
  <si>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</si>
  <si>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</si>
  <si>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</si>
  <si>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</si>
  <si>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</si>
  <si>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</si>
  <si>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</si>
  <si>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</si>
  <si>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</si>
  <si>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</si>
  <si>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</si>
  <si>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</si>
  <si>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</si>
  <si>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</si>
  <si>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</si>
  <si>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</si>
  <si>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</si>
  <si>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</si>
  <si>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</si>
  <si>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</si>
  <si>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</si>
  <si>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</si>
  <si>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</si>
  <si>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</si>
  <si>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</si>
  <si>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</si>
  <si>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</si>
  <si>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</si>
  <si>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</si>
  <si>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</si>
  <si>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</si>
  <si>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</si>
  <si>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</si>
  <si>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</si>
  <si>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</si>
  <si>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</si>
  <si>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</si>
  <si>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</si>
  <si>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</si>
  <si>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</si>
  <si>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</si>
  <si>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</si>
  <si>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</si>
  <si>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</si>
  <si>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</si>
  <si>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</si>
  <si>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</si>
  <si>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</si>
  <si>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</si>
  <si>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</si>
  <si>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</si>
  <si>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</si>
  <si>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</si>
  <si>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</si>
  <si>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</si>
  <si>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</si>
  <si>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</si>
  <si>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</si>
  <si>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</si>
  <si>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</si>
  <si>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</si>
  <si>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</si>
  <si>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</si>
  <si>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</si>
  <si>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</si>
  <si>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</si>
  <si>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</si>
  <si>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</si>
  <si>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</si>
  <si>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</si>
  <si>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</si>
  <si>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</si>
  <si>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</si>
  <si>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</si>
  <si>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</si>
  <si>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</si>
  <si>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</si>
  <si>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</si>
  <si>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</si>
  <si>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</si>
  <si>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</si>
  <si>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</si>
  <si>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</si>
  <si>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</si>
  <si>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</si>
  <si>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</si>
  <si>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</si>
  <si>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</si>
  <si>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</si>
  <si>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</si>
  <si>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</si>
  <si>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</si>
  <si>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</si>
  <si>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</si>
  <si>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</si>
  <si>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</si>
  <si>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</si>
  <si>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</si>
  <si>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</si>
  <si>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</si>
  <si>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</si>
  <si>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</si>
  <si>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</si>
  <si>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</si>
  <si>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</si>
  <si>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</si>
  <si>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</si>
  <si>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</si>
  <si>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</si>
  <si>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</si>
  <si>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</si>
  <si>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</si>
  <si>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</si>
  <si>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</si>
  <si>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</si>
  <si>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</si>
  <si>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</si>
  <si>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</si>
  <si>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</si>
  <si>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</si>
  <si>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</si>
  <si>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</si>
  <si>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</si>
  <si>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</si>
  <si>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</si>
  <si>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</si>
  <si>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</si>
  <si>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</si>
  <si>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</si>
  <si>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</si>
  <si>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</si>
  <si>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</si>
  <si>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</si>
  <si>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</si>
  <si>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</si>
  <si>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</si>
  <si>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</si>
  <si>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</si>
  <si>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</si>
  <si>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</si>
  <si>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</si>
  <si>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</si>
  <si>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</si>
  <si>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</si>
  <si>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</si>
  <si>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</si>
  <si>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</si>
  <si>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</si>
  <si>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</si>
  <si>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</si>
  <si>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</si>
  <si>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</si>
  <si>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</si>
  <si>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</si>
  <si>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</si>
  <si>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</si>
  <si>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</si>
  <si>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</si>
  <si>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</si>
  <si>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</si>
  <si>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</si>
  <si>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</si>
  <si>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</si>
  <si>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</si>
  <si>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</si>
  <si>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</si>
  <si>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</si>
  <si>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</si>
  <si>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</si>
  <si>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</si>
  <si>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</si>
  <si>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</si>
  <si>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</si>
  <si>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</si>
  <si>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</si>
  <si>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</si>
  <si>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</si>
  <si>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</si>
  <si>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</si>
  <si>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</si>
  <si>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</si>
  <si>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</si>
  <si>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</si>
  <si>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</si>
  <si>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</si>
  <si>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</si>
  <si>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</si>
  <si>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</si>
  <si>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</si>
  <si>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</si>
  <si>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</si>
  <si>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</si>
  <si>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</si>
  <si>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</si>
  <si>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</si>
  <si>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</si>
  <si>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</si>
  <si>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</si>
  <si>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</si>
  <si>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</si>
  <si>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</si>
  <si>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</si>
  <si>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</si>
  <si>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</si>
  <si>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</si>
  <si>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</si>
  <si>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</si>
  <si>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</si>
  <si>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</si>
  <si>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</si>
  <si>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</si>
  <si>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</si>
  <si>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</si>
  <si>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</si>
  <si>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</si>
  <si>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</si>
  <si>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</si>
  <si>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</si>
  <si>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</si>
  <si>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</si>
  <si>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</si>
  <si>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</si>
  <si>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</si>
  <si>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</si>
  <si>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</si>
  <si>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</si>
  <si>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</si>
  <si>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</si>
  <si>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</si>
  <si>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</si>
  <si>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</si>
  <si>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</si>
  <si>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</si>
  <si>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</si>
  <si>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</si>
  <si>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</si>
  <si>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</si>
  <si>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</si>
  <si>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</si>
  <si>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</si>
  <si>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</si>
  <si>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</si>
  <si>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</si>
  <si>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</si>
  <si>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</si>
  <si>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</si>
  <si>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</si>
  <si>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</si>
  <si>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</si>
  <si>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</si>
  <si>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</si>
  <si>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</si>
  <si>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</si>
  <si>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</si>
  <si>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</si>
  <si>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</si>
  <si>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</si>
  <si>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</si>
  <si>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</si>
  <si>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</si>
  <si>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</si>
  <si>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</si>
  <si>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</si>
  <si>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</si>
  <si>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</si>
  <si>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</si>
  <si>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</si>
  <si>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</si>
  <si>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</si>
  <si>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</si>
  <si>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</si>
  <si>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</si>
  <si>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</si>
  <si>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</si>
  <si>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</si>
  <si>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</si>
  <si>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</si>
  <si>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</si>
  <si>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</si>
  <si>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</si>
  <si>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</si>
  <si>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</si>
  <si>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</si>
  <si>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</si>
  <si>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</si>
  <si>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</si>
  <si>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</si>
  <si>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</si>
  <si>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</si>
  <si>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</si>
  <si>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</si>
  <si>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</si>
  <si>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</si>
  <si>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</si>
  <si>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</si>
  <si>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</si>
  <si>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</si>
  <si>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</si>
  <si>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</si>
  <si>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</si>
  <si>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</si>
  <si>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</si>
  <si>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</si>
  <si>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</si>
  <si>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</si>
  <si>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</si>
  <si>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</si>
  <si>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</si>
  <si>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</si>
  <si>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</si>
  <si>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</si>
  <si>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</si>
  <si>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</si>
  <si>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</si>
  <si>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</si>
  <si>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</si>
  <si>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</si>
  <si>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</si>
  <si>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</si>
  <si>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</si>
  <si>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</si>
  <si>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</si>
  <si>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</si>
  <si>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</si>
  <si>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</si>
  <si>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</si>
  <si>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</si>
  <si>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</si>
  <si>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</si>
  <si>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</si>
  <si>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</si>
  <si>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</si>
  <si>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</si>
  <si>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</si>
  <si>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</si>
  <si>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</si>
  <si>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</si>
  <si>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</si>
  <si>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</si>
  <si>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</si>
  <si>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</si>
  <si>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</si>
  <si>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</si>
  <si>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</si>
  <si>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</si>
  <si>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</si>
  <si>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</si>
  <si>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</si>
  <si>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</si>
  <si>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</si>
  <si>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</si>
  <si>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</si>
  <si>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</si>
  <si>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</si>
  <si>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</si>
  <si>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</si>
  <si>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</si>
  <si>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</si>
  <si>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</si>
  <si>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</si>
  <si>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</si>
  <si>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</si>
  <si>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</si>
  <si>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</si>
  <si>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</si>
  <si>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</si>
  <si>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</si>
  <si>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</si>
  <si>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</si>
  <si>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</si>
  <si>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</si>
  <si>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</si>
  <si>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</si>
  <si>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</si>
  <si>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</si>
  <si>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</si>
  <si>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</si>
  <si>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</si>
  <si>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</si>
  <si>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</si>
  <si>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</si>
  <si>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</si>
  <si>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</si>
  <si>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</si>
  <si>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</si>
  <si>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</si>
  <si>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</si>
  <si>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</si>
  <si>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</si>
  <si>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</si>
  <si>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</si>
  <si>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</si>
  <si>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</si>
  <si>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</si>
  <si>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</si>
  <si>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</si>
  <si>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</si>
  <si>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</si>
  <si>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</si>
  <si>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</si>
  <si>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</si>
  <si>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</si>
  <si>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</si>
  <si>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</si>
  <si>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</si>
  <si>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</si>
  <si>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</si>
  <si>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</si>
  <si>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</si>
  <si>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</si>
  <si>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</si>
  <si>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</si>
  <si>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</si>
  <si>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</si>
  <si>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</si>
  <si>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</si>
  <si>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</si>
  <si>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</si>
  <si>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</si>
  <si>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</si>
  <si>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</si>
  <si>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</si>
  <si>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</si>
  <si>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</si>
  <si>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</si>
  <si>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</si>
  <si>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</si>
  <si>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</si>
  <si>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</si>
  <si>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</si>
  <si>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</si>
  <si>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</si>
  <si>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</si>
  <si>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</si>
  <si>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</si>
  <si>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</si>
  <si>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</si>
  <si>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</si>
  <si>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</si>
  <si>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</si>
  <si>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</si>
  <si>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</si>
  <si>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</si>
  <si>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</si>
  <si>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</si>
  <si>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</si>
  <si>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</si>
  <si>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</si>
  <si>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</si>
  <si>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</si>
  <si>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</si>
  <si>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</si>
  <si>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</si>
  <si>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</si>
  <si>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</si>
  <si>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</si>
  <si>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</si>
  <si>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</si>
  <si>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</si>
  <si>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</si>
  <si>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</si>
  <si>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</si>
  <si>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</si>
  <si>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</si>
  <si>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</si>
  <si>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</si>
  <si>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</si>
  <si>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</si>
  <si>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</si>
  <si>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</si>
  <si>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</si>
  <si>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</si>
  <si>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</si>
  <si>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</si>
  <si>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</si>
  <si>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</si>
  <si>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</si>
  <si>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</si>
  <si>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</si>
  <si>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</si>
  <si>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</si>
  <si>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</si>
  <si>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</si>
  <si>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</si>
  <si>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</si>
  <si>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</si>
  <si>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</si>
  <si>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</si>
  <si>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</si>
  <si>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</si>
  <si>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</si>
  <si>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</si>
  <si>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</si>
  <si>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</si>
  <si>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</si>
  <si>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</si>
  <si>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</si>
  <si>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</si>
  <si>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</si>
  <si>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</si>
  <si>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</si>
  <si>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</si>
  <si>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</si>
  <si>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</si>
  <si>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</si>
  <si>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</si>
  <si>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</si>
  <si>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</si>
  <si>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</si>
  <si>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</si>
  <si>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</si>
  <si>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</si>
  <si>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</si>
  <si>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</si>
  <si>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</si>
  <si>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</si>
  <si>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</si>
  <si>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</si>
  <si>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</si>
  <si>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</si>
  <si>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</si>
  <si>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</si>
  <si>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</si>
  <si>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</si>
  <si>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</si>
  <si>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</si>
  <si>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</si>
  <si>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</si>
  <si>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</si>
  <si>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</si>
  <si>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</si>
  <si>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</si>
  <si>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</si>
  <si>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</si>
  <si>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</si>
  <si>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</si>
  <si>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</si>
  <si>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</si>
  <si>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</si>
  <si>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</si>
  <si>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</si>
  <si>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</si>
  <si>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</si>
  <si>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</si>
  <si>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</si>
  <si>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</si>
  <si>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</si>
  <si>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</si>
  <si>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</si>
  <si>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</si>
  <si>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</si>
  <si>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</si>
  <si>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</si>
  <si>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</si>
  <si>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</si>
  <si>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</si>
  <si>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</si>
  <si>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</si>
  <si>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</si>
  <si>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</si>
  <si>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</si>
  <si>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</si>
  <si>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</si>
  <si>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</si>
  <si>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</si>
  <si>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</si>
  <si>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</si>
  <si>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</si>
  <si>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</si>
  <si>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</si>
  <si>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</si>
  <si>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</si>
  <si>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</si>
  <si>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</si>
  <si>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</si>
  <si>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</si>
  <si>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</si>
  <si>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</si>
  <si>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</si>
  <si>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</si>
  <si>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</si>
  <si>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</si>
  <si>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</si>
  <si>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</si>
  <si>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</si>
  <si>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</si>
  <si>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</si>
  <si>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</si>
  <si>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</si>
  <si>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</si>
  <si>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</si>
  <si>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</si>
  <si>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</si>
  <si>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</si>
  <si>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</si>
  <si>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</si>
  <si>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</si>
  <si>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</si>
  <si>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</si>
  <si>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</si>
  <si>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</si>
  <si>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</si>
  <si>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</si>
  <si>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</si>
  <si>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</si>
  <si>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</si>
  <si>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</si>
  <si>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</si>
  <si>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</si>
  <si>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</si>
  <si>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</si>
  <si>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</si>
  <si>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</si>
  <si>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</si>
  <si>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</si>
  <si>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</si>
  <si>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</si>
  <si>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</si>
  <si>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</si>
  <si>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</si>
  <si>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</si>
  <si>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</si>
  <si>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</si>
  <si>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</si>
  <si>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</si>
  <si>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</si>
  <si>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</si>
  <si>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</si>
  <si>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</si>
  <si>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</si>
  <si>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</si>
  <si>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</si>
  <si>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</si>
  <si>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</si>
  <si>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</si>
  <si>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</si>
  <si>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</si>
  <si>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</si>
  <si>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</si>
  <si>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</si>
  <si>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</si>
  <si>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</si>
  <si>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</si>
  <si>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</si>
  <si>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</si>
  <si>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</si>
  <si>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</si>
  <si>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</si>
  <si>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</si>
  <si>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</si>
  <si>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</si>
  <si>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</si>
  <si>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</si>
  <si>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</si>
  <si>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</si>
  <si>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</si>
  <si>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</si>
  <si>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</si>
  <si>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</si>
  <si>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</si>
  <si>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</si>
  <si>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</si>
  <si>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</si>
  <si>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</si>
  <si>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</si>
  <si>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</si>
  <si>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</si>
  <si>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</si>
  <si>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</si>
  <si>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</si>
  <si>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</si>
  <si>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</si>
  <si>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</si>
  <si>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</si>
  <si>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</si>
  <si>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</si>
  <si>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</si>
  <si>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</si>
  <si>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</si>
  <si>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</si>
  <si>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</si>
  <si>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</si>
  <si>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</si>
  <si>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</si>
  <si>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</si>
  <si>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</si>
  <si>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</si>
  <si>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</si>
  <si>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</si>
  <si>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</si>
  <si>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</si>
  <si>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</si>
  <si>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</si>
  <si>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</si>
  <si>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</si>
  <si>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</si>
  <si>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</si>
  <si>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</si>
  <si>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</si>
  <si>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</si>
  <si>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</si>
  <si>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</si>
  <si>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</si>
  <si>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</si>
  <si>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</si>
  <si>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</si>
  <si>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</si>
  <si>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</si>
  <si>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</si>
  <si>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</si>
  <si>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</si>
  <si>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</si>
  <si>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</si>
  <si>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</si>
  <si>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</si>
  <si>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</si>
  <si>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</si>
  <si>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</si>
  <si>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</si>
  <si>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</si>
  <si>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</si>
  <si>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</si>
  <si>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</si>
  <si>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</si>
  <si>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</si>
  <si>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</si>
  <si>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</si>
  <si>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</si>
  <si>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</si>
  <si>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</si>
  <si>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</si>
  <si>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</si>
  <si>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</si>
  <si>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</si>
  <si>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</si>
  <si>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</si>
  <si>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</si>
  <si>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</si>
  <si>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</si>
  <si>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</si>
  <si>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</si>
  <si>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</si>
  <si>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</si>
  <si>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</si>
  <si>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</si>
  <si>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</si>
  <si>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</si>
  <si>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</si>
  <si>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</si>
  <si>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</si>
  <si>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</si>
  <si>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</si>
  <si>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</si>
  <si>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</si>
  <si>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</si>
  <si>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</si>
  <si>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</si>
  <si>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</si>
  <si>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</si>
  <si>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</si>
  <si>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</si>
  <si>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</si>
  <si>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</si>
  <si>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</si>
  <si>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</si>
  <si>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</si>
  <si>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</si>
  <si>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</si>
  <si>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</si>
  <si>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</si>
  <si>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</si>
  <si>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</si>
  <si>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</si>
  <si>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</si>
  <si>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</si>
  <si>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</si>
  <si>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</si>
  <si>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</si>
  <si>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</si>
  <si>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</si>
  <si>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</si>
  <si>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</si>
  <si>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</si>
  <si>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</si>
  <si>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</si>
  <si>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</si>
  <si>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</si>
  <si>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</si>
  <si>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</si>
  <si>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</si>
  <si>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</si>
  <si>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</si>
  <si>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</si>
  <si>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</si>
  <si>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</si>
  <si>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</si>
  <si>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</si>
  <si>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</si>
  <si>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</si>
  <si>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</si>
  <si>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</si>
  <si>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</si>
  <si>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</si>
  <si>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</si>
  <si>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</si>
  <si>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</si>
  <si>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</si>
  <si>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</si>
  <si>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</si>
  <si>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</si>
  <si>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</si>
  <si>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</si>
  <si>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</si>
  <si>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</si>
  <si>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</si>
  <si>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</si>
  <si>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</si>
  <si>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</si>
  <si>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</si>
  <si>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</si>
  <si>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</si>
  <si>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</si>
  <si>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</si>
  <si>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</si>
  <si>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</si>
  <si>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</si>
  <si>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</si>
  <si>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</si>
  <si>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</si>
  <si>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</si>
  <si>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</si>
  <si>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</si>
  <si>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</si>
  <si>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</si>
  <si>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</si>
  <si>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</si>
  <si>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</si>
  <si>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</si>
  <si>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</si>
  <si>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</si>
  <si>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</si>
  <si>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</si>
  <si>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</si>
  <si>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</si>
  <si>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</si>
  <si>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</si>
  <si>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</si>
  <si>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</si>
  <si>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</si>
  <si>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</si>
  <si>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</si>
  <si>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</si>
  <si>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</si>
  <si>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</si>
  <si>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</si>
  <si>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</si>
  <si>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</si>
  <si>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</si>
  <si>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</si>
  <si>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</si>
  <si>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</si>
  <si>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</si>
  <si>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</si>
  <si>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</si>
  <si>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</si>
  <si>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</si>
  <si>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</si>
  <si>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</si>
  <si>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</si>
  <si>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</si>
  <si>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</si>
  <si>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</si>
  <si>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</si>
  <si>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</si>
  <si>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</si>
  <si>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</si>
  <si>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</si>
  <si>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</si>
  <si>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</si>
  <si>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</si>
  <si>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</si>
  <si>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</si>
  <si>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</si>
  <si>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</si>
  <si>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</si>
  <si>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</si>
  <si>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</si>
  <si>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</si>
  <si>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</si>
  <si>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</si>
  <si>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</si>
  <si>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</si>
  <si>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</si>
  <si>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</si>
  <si>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</si>
  <si>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</si>
  <si>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</si>
  <si>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</si>
  <si>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</si>
  <si>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</si>
  <si>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</si>
  <si>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</si>
  <si>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</si>
  <si>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</si>
  <si>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</si>
  <si>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</si>
  <si>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</si>
  <si>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</si>
  <si>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</si>
  <si>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</si>
  <si>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</si>
  <si>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</si>
  <si>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</si>
  <si>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</si>
  <si>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</si>
  <si>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</si>
  <si>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</si>
  <si>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</si>
  <si>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</si>
  <si>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</si>
  <si>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</si>
  <si>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</si>
  <si>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</si>
  <si>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</si>
  <si>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</si>
  <si>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</si>
  <si>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</si>
  <si>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</si>
  <si>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</si>
  <si>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</si>
  <si>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</si>
  <si>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</si>
  <si>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</si>
  <si>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</si>
  <si>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</si>
  <si>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</si>
  <si>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</si>
  <si>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</si>
  <si>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</si>
  <si>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</si>
  <si>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</si>
  <si>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</si>
  <si>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</si>
  <si>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</si>
  <si>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</si>
  <si>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</si>
  <si>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</si>
  <si>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</si>
  <si>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</si>
  <si>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</si>
  <si>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</si>
  <si>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</si>
  <si>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</si>
  <si>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</si>
  <si>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</si>
  <si>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</si>
  <si>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</si>
  <si>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</si>
  <si>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</si>
  <si>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</si>
  <si>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</si>
  <si>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</si>
  <si>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</si>
  <si>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</si>
  <si>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</si>
  <si>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</si>
  <si>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</si>
  <si>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</si>
  <si>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</si>
  <si>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</si>
  <si>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</si>
  <si>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</si>
  <si>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</si>
  <si>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</si>
  <si>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</si>
  <si>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</si>
  <si>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</si>
  <si>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</si>
  <si>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</si>
  <si>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</si>
  <si>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</si>
  <si>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</si>
  <si>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</si>
  <si>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</si>
  <si>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</si>
  <si>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</si>
  <si>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</si>
  <si>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</si>
  <si>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</si>
  <si>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</si>
  <si>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</si>
  <si>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</si>
  <si>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</si>
  <si>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</si>
  <si>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</si>
  <si>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</si>
  <si>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</si>
  <si>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</si>
  <si>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</si>
  <si>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</si>
  <si>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</si>
  <si>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</si>
  <si>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</si>
  <si>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</si>
  <si>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</si>
  <si>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</si>
  <si>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</si>
  <si>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</si>
  <si>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</si>
  <si>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</si>
  <si>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</si>
  <si>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</si>
  <si>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</si>
  <si>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</si>
  <si>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</si>
  <si>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</si>
  <si>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</si>
  <si>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</si>
  <si>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</si>
  <si>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</si>
  <si>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</si>
  <si>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</si>
  <si>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</si>
  <si>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</si>
  <si>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</si>
  <si>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</si>
  <si>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</si>
  <si>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</si>
  <si>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</si>
  <si>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</si>
  <si>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</si>
  <si>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</si>
  <si>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</si>
  <si>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</si>
  <si>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</si>
  <si>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</si>
  <si>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</si>
  <si>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</si>
  <si>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</si>
  <si>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</si>
  <si>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</si>
  <si>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</si>
  <si>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</si>
  <si>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</si>
  <si>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</si>
  <si>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</si>
  <si>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</si>
  <si>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</si>
  <si>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</si>
  <si>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</si>
  <si>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</si>
  <si>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</si>
  <si>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</si>
  <si>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</si>
  <si>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</si>
  <si>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</si>
  <si>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</si>
  <si>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</si>
  <si>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</si>
  <si>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</si>
  <si>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</si>
  <si>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</si>
  <si>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</si>
  <si>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</si>
  <si>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</si>
  <si>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</si>
  <si>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</si>
  <si>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</si>
  <si>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</si>
  <si>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</si>
  <si>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</si>
  <si>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</si>
  <si>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</si>
  <si>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</si>
  <si>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</si>
  <si>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</si>
  <si>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</si>
  <si>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</si>
  <si>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</si>
  <si>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</si>
  <si>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</si>
  <si>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</si>
  <si>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</si>
  <si>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</si>
  <si>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</si>
  <si>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</si>
  <si>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</si>
  <si>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</si>
  <si>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</si>
  <si>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</si>
  <si>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</si>
  <si>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</si>
  <si>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</si>
  <si>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</si>
  <si>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</si>
  <si>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</si>
  <si>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</si>
  <si>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</si>
  <si>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</si>
  <si>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</si>
  <si>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</si>
  <si>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</si>
  <si>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</si>
  <si>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</si>
  <si>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</si>
  <si>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</si>
  <si>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</si>
  <si>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</si>
  <si>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</si>
  <si>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</si>
  <si>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</si>
  <si>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</si>
  <si>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</si>
  <si>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</si>
  <si>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</si>
  <si>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</si>
  <si>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</si>
  <si>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</si>
  <si>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</si>
  <si>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</si>
  <si>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</si>
  <si>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</si>
  <si>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</si>
  <si>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</si>
  <si>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</si>
  <si>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</si>
  <si>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</si>
  <si>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</si>
  <si>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</si>
  <si>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</si>
  <si>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</si>
  <si>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</si>
  <si>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</si>
  <si>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</si>
  <si>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</si>
  <si>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</si>
  <si>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</si>
  <si>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</si>
  <si>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</si>
  <si>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</si>
  <si>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</si>
  <si>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</si>
  <si>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</si>
  <si>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</si>
  <si>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</si>
  <si>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</si>
  <si>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</si>
  <si>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</si>
  <si>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</si>
  <si>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</si>
  <si>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</si>
  <si>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</si>
  <si>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</si>
  <si>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</si>
  <si>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</si>
  <si>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</si>
  <si>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</si>
  <si>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</si>
  <si>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</si>
  <si>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</si>
  <si>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</si>
  <si>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</si>
  <si>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</si>
  <si>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</si>
  <si>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</si>
  <si>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</si>
  <si>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</si>
  <si>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</si>
  <si>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</si>
  <si>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</si>
  <si>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</si>
  <si>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</si>
  <si>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</si>
  <si>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</si>
  <si>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</si>
  <si>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</si>
  <si>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</si>
  <si>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</si>
  <si>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</si>
  <si>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</si>
  <si>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</si>
  <si>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</si>
  <si>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</si>
  <si>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</si>
  <si>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</si>
  <si>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</si>
  <si>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</si>
  <si>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</si>
  <si>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</si>
  <si>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</si>
  <si>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</si>
  <si>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</si>
  <si>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</si>
  <si>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</si>
  <si>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</si>
  <si>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</si>
  <si>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</si>
  <si>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</si>
  <si>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</si>
  <si>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</si>
  <si>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</si>
  <si>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</si>
  <si>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</si>
  <si>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</si>
  <si>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</si>
  <si>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</si>
  <si>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</si>
  <si>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</si>
  <si>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</si>
  <si>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</si>
  <si>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</si>
  <si>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</si>
  <si>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</si>
  <si>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</si>
  <si>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</si>
  <si>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</si>
  <si>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</si>
  <si>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</si>
  <si>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</si>
  <si>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</si>
  <si>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</si>
  <si>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</si>
  <si>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</si>
  <si>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</si>
  <si>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</si>
  <si>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</si>
  <si>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</si>
  <si>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</si>
  <si>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</si>
  <si>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</si>
  <si>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</si>
  <si>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</si>
  <si>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</si>
  <si>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</si>
  <si>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</si>
  <si>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</si>
  <si>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</si>
  <si>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</si>
  <si>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</si>
  <si>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</si>
  <si>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</si>
  <si>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</si>
  <si>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</si>
  <si>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</si>
  <si>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</si>
  <si>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</si>
  <si>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</si>
  <si>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</si>
  <si>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</si>
  <si>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</si>
  <si>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</si>
  <si>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</si>
  <si>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</si>
  <si>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</si>
  <si>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</si>
  <si>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</si>
  <si>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</si>
  <si>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</si>
  <si>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</si>
  <si>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</si>
  <si>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</si>
  <si>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</si>
  <si>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</si>
  <si>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</si>
  <si>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</si>
  <si>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</si>
  <si>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</si>
  <si>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</si>
  <si>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</si>
  <si>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</si>
  <si>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</si>
  <si>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</si>
  <si>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</si>
  <si>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</si>
  <si>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</si>
  <si>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</si>
  <si>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</si>
  <si>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</si>
  <si>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</si>
  <si>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</si>
  <si>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</si>
  <si>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</si>
  <si>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</si>
  <si>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</si>
  <si>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Quality Check</t>
  </si>
  <si>
    <t>Result (Formula)</t>
  </si>
  <si>
    <t>Action Taken</t>
  </si>
  <si>
    <t>Total rows in raw dataset</t>
  </si>
  <si>
    <t>Baseline row count before any cleaning</t>
  </si>
  <si>
    <t>Missing values — device_type</t>
  </si>
  <si>
    <t>Retained; excluded from device segment analysis</t>
  </si>
  <si>
    <t>Missing values — traffic_source</t>
  </si>
  <si>
    <t>Retained; excluded from traffic segment analysis</t>
  </si>
  <si>
    <t>Missing values — engagement_score</t>
  </si>
  <si>
    <t>Retained; excluded from engagement score averages</t>
  </si>
  <si>
    <t>Missing values — days_to_convert</t>
  </si>
  <si>
    <t>Expected — non-converted users have no conversion date</t>
  </si>
  <si>
    <t>Duplicate user_id rows (extra copies)</t>
  </si>
  <si>
    <t>Removed duplicates; first occurrence kept (8 extra rows removed)</t>
  </si>
  <si>
    <t>Rows after deduplication</t>
  </si>
  <si>
    <t>Clean dataset (1 400 rows) used for all analysis</t>
  </si>
  <si>
    <t>Invalid binary — visited_landing_page</t>
  </si>
  <si>
    <t>No invalid values found — column is clean</t>
  </si>
  <si>
    <t>Invalid binary — started_trial</t>
  </si>
  <si>
    <t>Invalid binary — completed_onboarding</t>
  </si>
  <si>
    <t>Invalid binary — converted_to_paid</t>
  </si>
  <si>
    <t>Invalid binary — refund_requested</t>
  </si>
  <si>
    <t>Revenue outliers &gt; mean + 3 stdev</t>
  </si>
  <si>
    <t>Retained — legitimate high-value users; noted in analysis</t>
  </si>
  <si>
    <t>Control group size (clean data)</t>
  </si>
  <si>
    <t>Used for all Control group calculations</t>
  </si>
  <si>
    <t>Treatment group size (clean data)</t>
  </si>
  <si>
    <t>Used for all Treatment group calculations</t>
  </si>
  <si>
    <t>Segment balance — Control users by region</t>
  </si>
  <si>
    <t>N / S / E / W — all regions represented in Control</t>
  </si>
  <si>
    <t>Segment balance — Treatment users by region</t>
  </si>
  <si>
    <t>N / S / E / W — all regions represented in Treatment</t>
  </si>
  <si>
    <t>Total users (clean)</t>
  </si>
  <si>
    <t>Control group count</t>
  </si>
  <si>
    <t>Treatment group count</t>
  </si>
  <si>
    <t>Total conversions</t>
  </si>
  <si>
    <t>Control conversions</t>
  </si>
  <si>
    <t>Treatment conversions</t>
  </si>
  <si>
    <t>Overall conversion rate</t>
  </si>
  <si>
    <t>Control conversion rate</t>
  </si>
  <si>
    <t>Treatment conversion rate</t>
  </si>
  <si>
    <t>Total revenue</t>
  </si>
  <si>
    <t>Avg engagement score</t>
  </si>
  <si>
    <t>Quick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</si>
</sst>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\$#,##0.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9"/>
      <name val="Arial"/>
    </font>
    <font>
      <sz val="10"/>
      <color rgb="FF000000"/>
      <name val="Arial"/>
    </font>
    <font>
      <sz val="9"/>
      <color rgb="FF000099"/>
      <name val="Courier New"/>
    </font>
    <font>
      <b/>
      <sz val="10"/>
      <color rgb="FFFFFFFF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0" fontId="4" fillId="3" borderId="1" xfId="0" applyNumberFormat="1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tabSelected="1" workbookViewId="0">
      <selection activeCell="F2" sqref="F2"/>
    </sheetView>
  </sheetViews>
  <sheetFormatPr defaultRowHeight="14.25" x14ac:dyDescent="0.45"/>
  <cols>
    <col min="1" max="1" width="14" customWidth="1"/>
    <col min="2" max="2" width="14.53125" bestFit="1" customWidth="1"/>
    <col min="3" max="3" width="18" customWidth="1"/>
    <col min="4" max="5" width="14" customWidth="1"/>
    <col min="6" max="6" width="16" customWidth="1"/>
    <col min="7" max="7" width="14" customWidth="1"/>
    <col min="8" max="8" width="22" customWidth="1"/>
    <col min="9" max="9" width="15" customWidth="1"/>
    <col min="10" max="10" width="22" customWidth="1"/>
    <col min="11" max="11" width="19" customWidth="1"/>
    <col min="12" max="12" width="14" customWidth="1"/>
    <col min="13" max="13" width="21" customWidth="1"/>
    <col min="14" max="14" width="18" customWidth="1"/>
    <col min="15" max="15" width="17" customWidth="1"/>
    <col min="16" max="16" width="18" customWidth="1"/>
  </cols>
  <sheetData>
    <row r="1" spans="1:16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 x14ac:dyDescent="0.45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 x14ac:dyDescent="0.45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 x14ac:dyDescent="0.45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 x14ac:dyDescent="0.45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 x14ac:dyDescent="0.45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 x14ac:dyDescent="0.45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 x14ac:dyDescent="0.45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 x14ac:dyDescent="0.45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 x14ac:dyDescent="0.45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 x14ac:dyDescent="0.45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 x14ac:dyDescent="0.45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 x14ac:dyDescent="0.45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 x14ac:dyDescent="0.45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 x14ac:dyDescent="0.45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 x14ac:dyDescent="0.45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 x14ac:dyDescent="0.45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 x14ac:dyDescent="0.45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 x14ac:dyDescent="0.45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 x14ac:dyDescent="0.45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 x14ac:dyDescent="0.45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 x14ac:dyDescent="0.45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 x14ac:dyDescent="0.45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 x14ac:dyDescent="0.45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 x14ac:dyDescent="0.45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 x14ac:dyDescent="0.45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 x14ac:dyDescent="0.45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 x14ac:dyDescent="0.45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 x14ac:dyDescent="0.45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 x14ac:dyDescent="0.45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 x14ac:dyDescent="0.45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 x14ac:dyDescent="0.45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 x14ac:dyDescent="0.45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 x14ac:dyDescent="0.45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 x14ac:dyDescent="0.45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 x14ac:dyDescent="0.45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 x14ac:dyDescent="0.45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 x14ac:dyDescent="0.45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 x14ac:dyDescent="0.45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 x14ac:dyDescent="0.45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 x14ac:dyDescent="0.45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 x14ac:dyDescent="0.45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 x14ac:dyDescent="0.45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 x14ac:dyDescent="0.45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 x14ac:dyDescent="0.45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 x14ac:dyDescent="0.45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 x14ac:dyDescent="0.45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 x14ac:dyDescent="0.45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 x14ac:dyDescent="0.45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 x14ac:dyDescent="0.45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 x14ac:dyDescent="0.45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 x14ac:dyDescent="0.45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 x14ac:dyDescent="0.45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 x14ac:dyDescent="0.45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 x14ac:dyDescent="0.45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 x14ac:dyDescent="0.45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 x14ac:dyDescent="0.45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 x14ac:dyDescent="0.45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 x14ac:dyDescent="0.45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 x14ac:dyDescent="0.45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 x14ac:dyDescent="0.45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 x14ac:dyDescent="0.45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 x14ac:dyDescent="0.45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 x14ac:dyDescent="0.45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 x14ac:dyDescent="0.45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 x14ac:dyDescent="0.45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 x14ac:dyDescent="0.45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 x14ac:dyDescent="0.45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 x14ac:dyDescent="0.45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 x14ac:dyDescent="0.45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 x14ac:dyDescent="0.45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 x14ac:dyDescent="0.45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 x14ac:dyDescent="0.45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 x14ac:dyDescent="0.45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 x14ac:dyDescent="0.45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 x14ac:dyDescent="0.45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 x14ac:dyDescent="0.45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 x14ac:dyDescent="0.45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 x14ac:dyDescent="0.45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x14ac:dyDescent="0.45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 x14ac:dyDescent="0.45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 x14ac:dyDescent="0.45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 x14ac:dyDescent="0.45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 x14ac:dyDescent="0.45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 x14ac:dyDescent="0.45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 x14ac:dyDescent="0.45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 x14ac:dyDescent="0.45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 x14ac:dyDescent="0.45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 x14ac:dyDescent="0.45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 x14ac:dyDescent="0.45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 x14ac:dyDescent="0.45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 x14ac:dyDescent="0.45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 x14ac:dyDescent="0.45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 x14ac:dyDescent="0.45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 x14ac:dyDescent="0.45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 x14ac:dyDescent="0.45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 x14ac:dyDescent="0.45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 x14ac:dyDescent="0.45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 x14ac:dyDescent="0.45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x14ac:dyDescent="0.45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 x14ac:dyDescent="0.45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 x14ac:dyDescent="0.45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 x14ac:dyDescent="0.45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x14ac:dyDescent="0.45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 x14ac:dyDescent="0.45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 x14ac:dyDescent="0.45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 x14ac:dyDescent="0.45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 x14ac:dyDescent="0.45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 x14ac:dyDescent="0.45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 x14ac:dyDescent="0.45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 x14ac:dyDescent="0.45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 x14ac:dyDescent="0.45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 x14ac:dyDescent="0.45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 x14ac:dyDescent="0.45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 x14ac:dyDescent="0.45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 x14ac:dyDescent="0.45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 x14ac:dyDescent="0.45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 x14ac:dyDescent="0.45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 x14ac:dyDescent="0.45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 x14ac:dyDescent="0.45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 x14ac:dyDescent="0.45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 x14ac:dyDescent="0.45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 x14ac:dyDescent="0.45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 x14ac:dyDescent="0.45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 x14ac:dyDescent="0.45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 x14ac:dyDescent="0.45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 x14ac:dyDescent="0.45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 x14ac:dyDescent="0.45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 x14ac:dyDescent="0.45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 x14ac:dyDescent="0.45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 x14ac:dyDescent="0.45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 x14ac:dyDescent="0.45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 x14ac:dyDescent="0.45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 x14ac:dyDescent="0.45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 x14ac:dyDescent="0.45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 x14ac:dyDescent="0.45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 x14ac:dyDescent="0.45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 x14ac:dyDescent="0.45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 x14ac:dyDescent="0.45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 x14ac:dyDescent="0.45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 x14ac:dyDescent="0.45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 x14ac:dyDescent="0.45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 x14ac:dyDescent="0.45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 x14ac:dyDescent="0.45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 x14ac:dyDescent="0.45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 x14ac:dyDescent="0.45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 x14ac:dyDescent="0.45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 x14ac:dyDescent="0.45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 x14ac:dyDescent="0.45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x14ac:dyDescent="0.45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 x14ac:dyDescent="0.45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 x14ac:dyDescent="0.45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 x14ac:dyDescent="0.45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 x14ac:dyDescent="0.45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 x14ac:dyDescent="0.45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 x14ac:dyDescent="0.45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 x14ac:dyDescent="0.45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 x14ac:dyDescent="0.45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 x14ac:dyDescent="0.45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 x14ac:dyDescent="0.45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 x14ac:dyDescent="0.45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 x14ac:dyDescent="0.45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 x14ac:dyDescent="0.45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 x14ac:dyDescent="0.45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 x14ac:dyDescent="0.45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 x14ac:dyDescent="0.45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 x14ac:dyDescent="0.45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 x14ac:dyDescent="0.45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 x14ac:dyDescent="0.45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 x14ac:dyDescent="0.45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 x14ac:dyDescent="0.45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 x14ac:dyDescent="0.45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 x14ac:dyDescent="0.45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 x14ac:dyDescent="0.45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 x14ac:dyDescent="0.45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 x14ac:dyDescent="0.45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 x14ac:dyDescent="0.45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 x14ac:dyDescent="0.45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 x14ac:dyDescent="0.45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 x14ac:dyDescent="0.45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 x14ac:dyDescent="0.45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 x14ac:dyDescent="0.45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 x14ac:dyDescent="0.45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 x14ac:dyDescent="0.45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 x14ac:dyDescent="0.45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 x14ac:dyDescent="0.45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 x14ac:dyDescent="0.45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 x14ac:dyDescent="0.45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 x14ac:dyDescent="0.45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 x14ac:dyDescent="0.45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 x14ac:dyDescent="0.45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 x14ac:dyDescent="0.45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 x14ac:dyDescent="0.45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 x14ac:dyDescent="0.45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 x14ac:dyDescent="0.45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 x14ac:dyDescent="0.45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 x14ac:dyDescent="0.45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x14ac:dyDescent="0.45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 x14ac:dyDescent="0.45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 x14ac:dyDescent="0.45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 x14ac:dyDescent="0.45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 x14ac:dyDescent="0.45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 x14ac:dyDescent="0.45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 x14ac:dyDescent="0.45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 x14ac:dyDescent="0.45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 x14ac:dyDescent="0.45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 x14ac:dyDescent="0.45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 x14ac:dyDescent="0.45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 x14ac:dyDescent="0.45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 x14ac:dyDescent="0.45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 x14ac:dyDescent="0.45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x14ac:dyDescent="0.45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 x14ac:dyDescent="0.45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 x14ac:dyDescent="0.45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 x14ac:dyDescent="0.45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 x14ac:dyDescent="0.45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 x14ac:dyDescent="0.45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 x14ac:dyDescent="0.45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 x14ac:dyDescent="0.45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 x14ac:dyDescent="0.45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 x14ac:dyDescent="0.45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 x14ac:dyDescent="0.45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 x14ac:dyDescent="0.45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 x14ac:dyDescent="0.45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 x14ac:dyDescent="0.45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 x14ac:dyDescent="0.45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 x14ac:dyDescent="0.45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 x14ac:dyDescent="0.45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 x14ac:dyDescent="0.45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 x14ac:dyDescent="0.45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 x14ac:dyDescent="0.45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 x14ac:dyDescent="0.45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 x14ac:dyDescent="0.45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 x14ac:dyDescent="0.45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 x14ac:dyDescent="0.45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 x14ac:dyDescent="0.45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 x14ac:dyDescent="0.45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 x14ac:dyDescent="0.45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 x14ac:dyDescent="0.45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 x14ac:dyDescent="0.45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 x14ac:dyDescent="0.45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 x14ac:dyDescent="0.45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 x14ac:dyDescent="0.45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 x14ac:dyDescent="0.45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 x14ac:dyDescent="0.45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 x14ac:dyDescent="0.45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 x14ac:dyDescent="0.45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 x14ac:dyDescent="0.45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 x14ac:dyDescent="0.45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 x14ac:dyDescent="0.45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 x14ac:dyDescent="0.45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x14ac:dyDescent="0.45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 x14ac:dyDescent="0.45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 x14ac:dyDescent="0.45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 x14ac:dyDescent="0.45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 x14ac:dyDescent="0.45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 x14ac:dyDescent="0.45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 x14ac:dyDescent="0.45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 x14ac:dyDescent="0.45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 x14ac:dyDescent="0.45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 x14ac:dyDescent="0.45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 x14ac:dyDescent="0.45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 x14ac:dyDescent="0.45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 x14ac:dyDescent="0.45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 x14ac:dyDescent="0.45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 x14ac:dyDescent="0.45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 x14ac:dyDescent="0.45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 x14ac:dyDescent="0.45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 x14ac:dyDescent="0.45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 x14ac:dyDescent="0.45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 x14ac:dyDescent="0.45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 x14ac:dyDescent="0.45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 x14ac:dyDescent="0.45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 x14ac:dyDescent="0.45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 x14ac:dyDescent="0.45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 x14ac:dyDescent="0.45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 x14ac:dyDescent="0.45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 x14ac:dyDescent="0.45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 x14ac:dyDescent="0.45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 x14ac:dyDescent="0.45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 x14ac:dyDescent="0.45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 x14ac:dyDescent="0.45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 x14ac:dyDescent="0.45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 x14ac:dyDescent="0.45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 x14ac:dyDescent="0.45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 x14ac:dyDescent="0.45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 x14ac:dyDescent="0.45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 x14ac:dyDescent="0.45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 x14ac:dyDescent="0.45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 x14ac:dyDescent="0.45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 x14ac:dyDescent="0.45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 x14ac:dyDescent="0.45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 x14ac:dyDescent="0.45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 x14ac:dyDescent="0.45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 x14ac:dyDescent="0.45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 x14ac:dyDescent="0.45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 x14ac:dyDescent="0.45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 x14ac:dyDescent="0.45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 x14ac:dyDescent="0.45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 x14ac:dyDescent="0.45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 x14ac:dyDescent="0.45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 x14ac:dyDescent="0.45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 x14ac:dyDescent="0.45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x14ac:dyDescent="0.45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 x14ac:dyDescent="0.45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 x14ac:dyDescent="0.45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 x14ac:dyDescent="0.45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 x14ac:dyDescent="0.45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 x14ac:dyDescent="0.45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 x14ac:dyDescent="0.45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 x14ac:dyDescent="0.45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 x14ac:dyDescent="0.45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 x14ac:dyDescent="0.45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 x14ac:dyDescent="0.45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 x14ac:dyDescent="0.45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 x14ac:dyDescent="0.45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 x14ac:dyDescent="0.45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 x14ac:dyDescent="0.45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 x14ac:dyDescent="0.45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 x14ac:dyDescent="0.45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 x14ac:dyDescent="0.45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 x14ac:dyDescent="0.45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 x14ac:dyDescent="0.45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 x14ac:dyDescent="0.45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 x14ac:dyDescent="0.45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 x14ac:dyDescent="0.45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 x14ac:dyDescent="0.45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 x14ac:dyDescent="0.45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 x14ac:dyDescent="0.45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 x14ac:dyDescent="0.45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 x14ac:dyDescent="0.45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x14ac:dyDescent="0.45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 x14ac:dyDescent="0.45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 x14ac:dyDescent="0.45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 x14ac:dyDescent="0.45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 x14ac:dyDescent="0.45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 x14ac:dyDescent="0.45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 x14ac:dyDescent="0.45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 x14ac:dyDescent="0.45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 x14ac:dyDescent="0.45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 x14ac:dyDescent="0.45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 x14ac:dyDescent="0.45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 x14ac:dyDescent="0.45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 x14ac:dyDescent="0.45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 x14ac:dyDescent="0.45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 x14ac:dyDescent="0.45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 x14ac:dyDescent="0.45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 x14ac:dyDescent="0.45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 x14ac:dyDescent="0.45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 x14ac:dyDescent="0.45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 x14ac:dyDescent="0.45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 x14ac:dyDescent="0.45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 x14ac:dyDescent="0.45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 x14ac:dyDescent="0.45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 x14ac:dyDescent="0.45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 x14ac:dyDescent="0.45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 x14ac:dyDescent="0.45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 x14ac:dyDescent="0.45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 x14ac:dyDescent="0.45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 x14ac:dyDescent="0.45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 x14ac:dyDescent="0.45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 x14ac:dyDescent="0.45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 x14ac:dyDescent="0.45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 x14ac:dyDescent="0.45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 x14ac:dyDescent="0.45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 x14ac:dyDescent="0.45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 x14ac:dyDescent="0.45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 x14ac:dyDescent="0.45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 x14ac:dyDescent="0.45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 x14ac:dyDescent="0.45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 x14ac:dyDescent="0.45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 x14ac:dyDescent="0.45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 x14ac:dyDescent="0.45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 x14ac:dyDescent="0.45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 x14ac:dyDescent="0.45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 x14ac:dyDescent="0.45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 x14ac:dyDescent="0.45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 x14ac:dyDescent="0.45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 x14ac:dyDescent="0.45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 x14ac:dyDescent="0.45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 x14ac:dyDescent="0.45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 x14ac:dyDescent="0.45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 x14ac:dyDescent="0.45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 x14ac:dyDescent="0.45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 x14ac:dyDescent="0.45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 x14ac:dyDescent="0.45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 x14ac:dyDescent="0.45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 x14ac:dyDescent="0.45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 x14ac:dyDescent="0.45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 x14ac:dyDescent="0.45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 x14ac:dyDescent="0.45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 x14ac:dyDescent="0.45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 x14ac:dyDescent="0.45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 x14ac:dyDescent="0.45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 x14ac:dyDescent="0.45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 x14ac:dyDescent="0.45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 x14ac:dyDescent="0.45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 x14ac:dyDescent="0.45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 x14ac:dyDescent="0.45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 x14ac:dyDescent="0.45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 x14ac:dyDescent="0.45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 x14ac:dyDescent="0.45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 x14ac:dyDescent="0.45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 x14ac:dyDescent="0.45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 x14ac:dyDescent="0.45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 x14ac:dyDescent="0.45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 x14ac:dyDescent="0.45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 x14ac:dyDescent="0.45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 x14ac:dyDescent="0.45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 x14ac:dyDescent="0.45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 x14ac:dyDescent="0.45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x14ac:dyDescent="0.45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 x14ac:dyDescent="0.45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 x14ac:dyDescent="0.45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 x14ac:dyDescent="0.45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 x14ac:dyDescent="0.45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 x14ac:dyDescent="0.45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 x14ac:dyDescent="0.45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 x14ac:dyDescent="0.45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 x14ac:dyDescent="0.45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 x14ac:dyDescent="0.45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 x14ac:dyDescent="0.45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 x14ac:dyDescent="0.45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 x14ac:dyDescent="0.45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 x14ac:dyDescent="0.45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 x14ac:dyDescent="0.45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 x14ac:dyDescent="0.45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 x14ac:dyDescent="0.45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 x14ac:dyDescent="0.45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 x14ac:dyDescent="0.45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 x14ac:dyDescent="0.45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 x14ac:dyDescent="0.45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 x14ac:dyDescent="0.45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 x14ac:dyDescent="0.45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 x14ac:dyDescent="0.45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 x14ac:dyDescent="0.45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 x14ac:dyDescent="0.45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 x14ac:dyDescent="0.45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 x14ac:dyDescent="0.45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 x14ac:dyDescent="0.45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 x14ac:dyDescent="0.45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 x14ac:dyDescent="0.45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 x14ac:dyDescent="0.45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 x14ac:dyDescent="0.45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 x14ac:dyDescent="0.45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 x14ac:dyDescent="0.45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 x14ac:dyDescent="0.45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 x14ac:dyDescent="0.45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 x14ac:dyDescent="0.45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 x14ac:dyDescent="0.45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 x14ac:dyDescent="0.45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 x14ac:dyDescent="0.45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 x14ac:dyDescent="0.45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 x14ac:dyDescent="0.45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 x14ac:dyDescent="0.45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 x14ac:dyDescent="0.45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 x14ac:dyDescent="0.45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 x14ac:dyDescent="0.45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 x14ac:dyDescent="0.45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 x14ac:dyDescent="0.45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 x14ac:dyDescent="0.45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 x14ac:dyDescent="0.45">
      <c r="A463" s="2" t="s">
        <v>493</v>
      </c>
      <c r="B463" s="3">
        <v>45796</v>
      </c>
      <c r="C463" s="2" t="s">
        <v>17</v>
      </c>
      <c r="D463" s="2" t="s">
        <v>18</v>
      </c>
      <c r="E463" s="2"/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 x14ac:dyDescent="0.45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 x14ac:dyDescent="0.45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 x14ac:dyDescent="0.45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 x14ac:dyDescent="0.45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 x14ac:dyDescent="0.45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 x14ac:dyDescent="0.45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 x14ac:dyDescent="0.45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 x14ac:dyDescent="0.45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 x14ac:dyDescent="0.45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 x14ac:dyDescent="0.45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 x14ac:dyDescent="0.45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 x14ac:dyDescent="0.45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 x14ac:dyDescent="0.45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 x14ac:dyDescent="0.45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 x14ac:dyDescent="0.45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 x14ac:dyDescent="0.45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 x14ac:dyDescent="0.45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 x14ac:dyDescent="0.45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 x14ac:dyDescent="0.45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 x14ac:dyDescent="0.45">
      <c r="A483" s="2" t="s">
        <v>513</v>
      </c>
      <c r="B483" s="3">
        <v>45701</v>
      </c>
      <c r="C483" s="2" t="s">
        <v>17</v>
      </c>
      <c r="D483" s="2" t="s">
        <v>18</v>
      </c>
      <c r="E483" s="2"/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 x14ac:dyDescent="0.45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 x14ac:dyDescent="0.45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 x14ac:dyDescent="0.45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 x14ac:dyDescent="0.45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 x14ac:dyDescent="0.45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 x14ac:dyDescent="0.45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 x14ac:dyDescent="0.45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 x14ac:dyDescent="0.45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 x14ac:dyDescent="0.45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 x14ac:dyDescent="0.45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 x14ac:dyDescent="0.45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 x14ac:dyDescent="0.45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 x14ac:dyDescent="0.45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 x14ac:dyDescent="0.45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 x14ac:dyDescent="0.45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 x14ac:dyDescent="0.45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 x14ac:dyDescent="0.45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 x14ac:dyDescent="0.45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 x14ac:dyDescent="0.45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x14ac:dyDescent="0.45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 x14ac:dyDescent="0.45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 x14ac:dyDescent="0.45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 x14ac:dyDescent="0.45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 x14ac:dyDescent="0.45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 x14ac:dyDescent="0.45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 x14ac:dyDescent="0.45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 x14ac:dyDescent="0.45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 x14ac:dyDescent="0.45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 x14ac:dyDescent="0.45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 x14ac:dyDescent="0.45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 x14ac:dyDescent="0.45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 x14ac:dyDescent="0.45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 x14ac:dyDescent="0.45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 x14ac:dyDescent="0.45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 x14ac:dyDescent="0.45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 x14ac:dyDescent="0.45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 x14ac:dyDescent="0.45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 x14ac:dyDescent="0.45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 x14ac:dyDescent="0.45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 x14ac:dyDescent="0.45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 x14ac:dyDescent="0.45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 x14ac:dyDescent="0.45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 x14ac:dyDescent="0.45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 x14ac:dyDescent="0.45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 x14ac:dyDescent="0.45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 x14ac:dyDescent="0.45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 x14ac:dyDescent="0.45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 x14ac:dyDescent="0.45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 x14ac:dyDescent="0.45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 x14ac:dyDescent="0.45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 x14ac:dyDescent="0.45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 x14ac:dyDescent="0.45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 x14ac:dyDescent="0.45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 x14ac:dyDescent="0.45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 x14ac:dyDescent="0.45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 x14ac:dyDescent="0.45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 x14ac:dyDescent="0.45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 x14ac:dyDescent="0.45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 x14ac:dyDescent="0.45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 x14ac:dyDescent="0.45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 x14ac:dyDescent="0.45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 x14ac:dyDescent="0.45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 x14ac:dyDescent="0.45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 x14ac:dyDescent="0.45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 x14ac:dyDescent="0.45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 x14ac:dyDescent="0.45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 x14ac:dyDescent="0.45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 x14ac:dyDescent="0.45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 x14ac:dyDescent="0.45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 x14ac:dyDescent="0.45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 x14ac:dyDescent="0.45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 x14ac:dyDescent="0.45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 x14ac:dyDescent="0.45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 x14ac:dyDescent="0.45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 x14ac:dyDescent="0.45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 x14ac:dyDescent="0.45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 x14ac:dyDescent="0.45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 x14ac:dyDescent="0.45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 x14ac:dyDescent="0.45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 x14ac:dyDescent="0.45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 x14ac:dyDescent="0.45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 x14ac:dyDescent="0.45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 x14ac:dyDescent="0.45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 x14ac:dyDescent="0.45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 x14ac:dyDescent="0.45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 x14ac:dyDescent="0.45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 x14ac:dyDescent="0.45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 x14ac:dyDescent="0.45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 x14ac:dyDescent="0.45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 x14ac:dyDescent="0.45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 x14ac:dyDescent="0.45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 x14ac:dyDescent="0.45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 x14ac:dyDescent="0.45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 x14ac:dyDescent="0.45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 x14ac:dyDescent="0.45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 x14ac:dyDescent="0.45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 x14ac:dyDescent="0.45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 x14ac:dyDescent="0.45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 x14ac:dyDescent="0.45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 x14ac:dyDescent="0.45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 x14ac:dyDescent="0.45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 x14ac:dyDescent="0.45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 x14ac:dyDescent="0.45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 x14ac:dyDescent="0.45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 x14ac:dyDescent="0.45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 x14ac:dyDescent="0.45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 x14ac:dyDescent="0.45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 x14ac:dyDescent="0.45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 x14ac:dyDescent="0.45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 x14ac:dyDescent="0.45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 x14ac:dyDescent="0.45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 x14ac:dyDescent="0.45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 x14ac:dyDescent="0.45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 x14ac:dyDescent="0.45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 x14ac:dyDescent="0.45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 x14ac:dyDescent="0.45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 x14ac:dyDescent="0.45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 x14ac:dyDescent="0.45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 x14ac:dyDescent="0.45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 x14ac:dyDescent="0.45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 x14ac:dyDescent="0.45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 x14ac:dyDescent="0.45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 x14ac:dyDescent="0.45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 x14ac:dyDescent="0.45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 x14ac:dyDescent="0.45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 x14ac:dyDescent="0.45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 x14ac:dyDescent="0.45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 x14ac:dyDescent="0.45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 x14ac:dyDescent="0.45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 x14ac:dyDescent="0.45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 x14ac:dyDescent="0.45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 x14ac:dyDescent="0.45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 x14ac:dyDescent="0.45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 x14ac:dyDescent="0.45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 x14ac:dyDescent="0.45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 x14ac:dyDescent="0.45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 x14ac:dyDescent="0.45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 x14ac:dyDescent="0.45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 x14ac:dyDescent="0.45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 x14ac:dyDescent="0.45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 x14ac:dyDescent="0.45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 x14ac:dyDescent="0.45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 x14ac:dyDescent="0.45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 x14ac:dyDescent="0.45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 x14ac:dyDescent="0.45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 x14ac:dyDescent="0.45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 x14ac:dyDescent="0.45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 x14ac:dyDescent="0.45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 x14ac:dyDescent="0.45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 x14ac:dyDescent="0.45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 x14ac:dyDescent="0.45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 x14ac:dyDescent="0.45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 x14ac:dyDescent="0.45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 x14ac:dyDescent="0.45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 x14ac:dyDescent="0.45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 x14ac:dyDescent="0.45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 x14ac:dyDescent="0.45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 x14ac:dyDescent="0.45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 x14ac:dyDescent="0.45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 x14ac:dyDescent="0.45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 x14ac:dyDescent="0.45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 x14ac:dyDescent="0.45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 x14ac:dyDescent="0.45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 x14ac:dyDescent="0.45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 x14ac:dyDescent="0.45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 x14ac:dyDescent="0.45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 x14ac:dyDescent="0.45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 x14ac:dyDescent="0.45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 x14ac:dyDescent="0.45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 x14ac:dyDescent="0.45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 x14ac:dyDescent="0.45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 x14ac:dyDescent="0.45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 x14ac:dyDescent="0.45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 x14ac:dyDescent="0.45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 x14ac:dyDescent="0.45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 x14ac:dyDescent="0.45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 x14ac:dyDescent="0.45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 x14ac:dyDescent="0.45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 x14ac:dyDescent="0.45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 x14ac:dyDescent="0.45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 x14ac:dyDescent="0.45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 x14ac:dyDescent="0.45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 x14ac:dyDescent="0.45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 x14ac:dyDescent="0.45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 x14ac:dyDescent="0.45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 x14ac:dyDescent="0.45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 x14ac:dyDescent="0.45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 x14ac:dyDescent="0.45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 x14ac:dyDescent="0.45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 x14ac:dyDescent="0.45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 x14ac:dyDescent="0.45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 x14ac:dyDescent="0.45">
      <c r="A675" s="2" t="s">
        <v>705</v>
      </c>
      <c r="B675" s="3">
        <v>45737</v>
      </c>
      <c r="C675" s="2" t="s">
        <v>17</v>
      </c>
      <c r="D675" s="2" t="s">
        <v>32</v>
      </c>
      <c r="E675" s="2"/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 x14ac:dyDescent="0.45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 x14ac:dyDescent="0.45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 x14ac:dyDescent="0.45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 x14ac:dyDescent="0.45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 x14ac:dyDescent="0.45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 x14ac:dyDescent="0.45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 x14ac:dyDescent="0.45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 x14ac:dyDescent="0.45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 x14ac:dyDescent="0.45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 x14ac:dyDescent="0.45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 x14ac:dyDescent="0.45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 x14ac:dyDescent="0.45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 x14ac:dyDescent="0.45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 x14ac:dyDescent="0.45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 x14ac:dyDescent="0.45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 x14ac:dyDescent="0.45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 x14ac:dyDescent="0.45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 x14ac:dyDescent="0.45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 x14ac:dyDescent="0.45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 x14ac:dyDescent="0.45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 x14ac:dyDescent="0.45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 x14ac:dyDescent="0.45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 x14ac:dyDescent="0.45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 x14ac:dyDescent="0.45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 x14ac:dyDescent="0.45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 x14ac:dyDescent="0.45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 x14ac:dyDescent="0.45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x14ac:dyDescent="0.45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 x14ac:dyDescent="0.45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 x14ac:dyDescent="0.45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 x14ac:dyDescent="0.45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 x14ac:dyDescent="0.45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 x14ac:dyDescent="0.45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 x14ac:dyDescent="0.45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 x14ac:dyDescent="0.45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 x14ac:dyDescent="0.45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 x14ac:dyDescent="0.45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 x14ac:dyDescent="0.45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 x14ac:dyDescent="0.45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 x14ac:dyDescent="0.45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 x14ac:dyDescent="0.45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 x14ac:dyDescent="0.45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 x14ac:dyDescent="0.45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 x14ac:dyDescent="0.45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 x14ac:dyDescent="0.45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 x14ac:dyDescent="0.45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 x14ac:dyDescent="0.45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 x14ac:dyDescent="0.45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 x14ac:dyDescent="0.45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 x14ac:dyDescent="0.45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 x14ac:dyDescent="0.45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 x14ac:dyDescent="0.45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 x14ac:dyDescent="0.45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 x14ac:dyDescent="0.45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 x14ac:dyDescent="0.45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 x14ac:dyDescent="0.45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 x14ac:dyDescent="0.45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 x14ac:dyDescent="0.45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 x14ac:dyDescent="0.45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 x14ac:dyDescent="0.45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 x14ac:dyDescent="0.45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 x14ac:dyDescent="0.45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 x14ac:dyDescent="0.45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 x14ac:dyDescent="0.45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 x14ac:dyDescent="0.45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 x14ac:dyDescent="0.45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 x14ac:dyDescent="0.45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 x14ac:dyDescent="0.45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 x14ac:dyDescent="0.45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 x14ac:dyDescent="0.45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 x14ac:dyDescent="0.45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 x14ac:dyDescent="0.45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 x14ac:dyDescent="0.45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 x14ac:dyDescent="0.45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 x14ac:dyDescent="0.45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 x14ac:dyDescent="0.45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 x14ac:dyDescent="0.45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 x14ac:dyDescent="0.45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 x14ac:dyDescent="0.45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 x14ac:dyDescent="0.45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 x14ac:dyDescent="0.45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 x14ac:dyDescent="0.45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 x14ac:dyDescent="0.45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 x14ac:dyDescent="0.45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 x14ac:dyDescent="0.45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 x14ac:dyDescent="0.45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 x14ac:dyDescent="0.45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 x14ac:dyDescent="0.45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 x14ac:dyDescent="0.45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 x14ac:dyDescent="0.45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 x14ac:dyDescent="0.45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 x14ac:dyDescent="0.45">
      <c r="A767" s="2" t="s">
        <v>798</v>
      </c>
      <c r="B767" s="3">
        <v>45671</v>
      </c>
      <c r="C767" s="2" t="s">
        <v>723</v>
      </c>
      <c r="D767" s="2" t="s">
        <v>23</v>
      </c>
      <c r="E767" s="2"/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 x14ac:dyDescent="0.45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 x14ac:dyDescent="0.45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 x14ac:dyDescent="0.45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 x14ac:dyDescent="0.45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 x14ac:dyDescent="0.45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 x14ac:dyDescent="0.45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 x14ac:dyDescent="0.45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 x14ac:dyDescent="0.45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 x14ac:dyDescent="0.45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 x14ac:dyDescent="0.45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 x14ac:dyDescent="0.45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 x14ac:dyDescent="0.45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 x14ac:dyDescent="0.45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 x14ac:dyDescent="0.45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 x14ac:dyDescent="0.45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 x14ac:dyDescent="0.45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 x14ac:dyDescent="0.45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 x14ac:dyDescent="0.45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 x14ac:dyDescent="0.45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 x14ac:dyDescent="0.45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 x14ac:dyDescent="0.45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 x14ac:dyDescent="0.45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 x14ac:dyDescent="0.45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 x14ac:dyDescent="0.45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 x14ac:dyDescent="0.45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 x14ac:dyDescent="0.45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 x14ac:dyDescent="0.45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 x14ac:dyDescent="0.45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 x14ac:dyDescent="0.45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 x14ac:dyDescent="0.45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 x14ac:dyDescent="0.45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 x14ac:dyDescent="0.45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 x14ac:dyDescent="0.45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 x14ac:dyDescent="0.45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 x14ac:dyDescent="0.45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 x14ac:dyDescent="0.45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 x14ac:dyDescent="0.45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 x14ac:dyDescent="0.45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 x14ac:dyDescent="0.45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x14ac:dyDescent="0.45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 x14ac:dyDescent="0.45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 x14ac:dyDescent="0.45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 x14ac:dyDescent="0.45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 x14ac:dyDescent="0.45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 x14ac:dyDescent="0.45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 x14ac:dyDescent="0.45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 x14ac:dyDescent="0.45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 x14ac:dyDescent="0.45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 x14ac:dyDescent="0.45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 x14ac:dyDescent="0.45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 x14ac:dyDescent="0.45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 x14ac:dyDescent="0.45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 x14ac:dyDescent="0.45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x14ac:dyDescent="0.45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 x14ac:dyDescent="0.45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 x14ac:dyDescent="0.45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 x14ac:dyDescent="0.45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 x14ac:dyDescent="0.45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 x14ac:dyDescent="0.45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x14ac:dyDescent="0.45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 x14ac:dyDescent="0.45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 x14ac:dyDescent="0.45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 x14ac:dyDescent="0.45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 x14ac:dyDescent="0.45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 x14ac:dyDescent="0.45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 x14ac:dyDescent="0.45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 x14ac:dyDescent="0.45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x14ac:dyDescent="0.45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 x14ac:dyDescent="0.45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 x14ac:dyDescent="0.45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 x14ac:dyDescent="0.45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x14ac:dyDescent="0.45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 x14ac:dyDescent="0.45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 x14ac:dyDescent="0.45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 x14ac:dyDescent="0.45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 x14ac:dyDescent="0.45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 x14ac:dyDescent="0.45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 x14ac:dyDescent="0.45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 x14ac:dyDescent="0.45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 x14ac:dyDescent="0.45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 x14ac:dyDescent="0.45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 x14ac:dyDescent="0.45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 x14ac:dyDescent="0.45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 x14ac:dyDescent="0.45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 x14ac:dyDescent="0.45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 x14ac:dyDescent="0.45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 x14ac:dyDescent="0.45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 x14ac:dyDescent="0.45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 x14ac:dyDescent="0.45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x14ac:dyDescent="0.45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 x14ac:dyDescent="0.45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 x14ac:dyDescent="0.45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 x14ac:dyDescent="0.45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x14ac:dyDescent="0.45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 x14ac:dyDescent="0.45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 x14ac:dyDescent="0.45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 x14ac:dyDescent="0.45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 x14ac:dyDescent="0.45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 x14ac:dyDescent="0.45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 x14ac:dyDescent="0.45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 x14ac:dyDescent="0.45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 x14ac:dyDescent="0.45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 x14ac:dyDescent="0.45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 x14ac:dyDescent="0.45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 x14ac:dyDescent="0.45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 x14ac:dyDescent="0.45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 x14ac:dyDescent="0.45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 x14ac:dyDescent="0.45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 x14ac:dyDescent="0.45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 x14ac:dyDescent="0.45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 x14ac:dyDescent="0.45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 x14ac:dyDescent="0.45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 x14ac:dyDescent="0.45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 x14ac:dyDescent="0.45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 x14ac:dyDescent="0.45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 x14ac:dyDescent="0.45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 x14ac:dyDescent="0.45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 x14ac:dyDescent="0.45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 x14ac:dyDescent="0.45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 x14ac:dyDescent="0.45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 x14ac:dyDescent="0.45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 x14ac:dyDescent="0.45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 x14ac:dyDescent="0.45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x14ac:dyDescent="0.45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 x14ac:dyDescent="0.45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 x14ac:dyDescent="0.45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 x14ac:dyDescent="0.45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 x14ac:dyDescent="0.45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 x14ac:dyDescent="0.45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 x14ac:dyDescent="0.45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 x14ac:dyDescent="0.45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 x14ac:dyDescent="0.45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/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 x14ac:dyDescent="0.45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 x14ac:dyDescent="0.45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 x14ac:dyDescent="0.45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 x14ac:dyDescent="0.45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 x14ac:dyDescent="0.45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 x14ac:dyDescent="0.45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 x14ac:dyDescent="0.45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x14ac:dyDescent="0.45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 x14ac:dyDescent="0.45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 x14ac:dyDescent="0.45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 x14ac:dyDescent="0.45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 x14ac:dyDescent="0.45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 x14ac:dyDescent="0.45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 x14ac:dyDescent="0.45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 x14ac:dyDescent="0.45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 x14ac:dyDescent="0.45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 x14ac:dyDescent="0.45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 x14ac:dyDescent="0.45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 x14ac:dyDescent="0.45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 x14ac:dyDescent="0.45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 x14ac:dyDescent="0.45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 x14ac:dyDescent="0.45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 x14ac:dyDescent="0.45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x14ac:dyDescent="0.45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 x14ac:dyDescent="0.45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 x14ac:dyDescent="0.45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 x14ac:dyDescent="0.45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 x14ac:dyDescent="0.45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 x14ac:dyDescent="0.45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 x14ac:dyDescent="0.45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 x14ac:dyDescent="0.45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 x14ac:dyDescent="0.45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 x14ac:dyDescent="0.45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x14ac:dyDescent="0.45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 x14ac:dyDescent="0.45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 x14ac:dyDescent="0.45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 x14ac:dyDescent="0.45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 x14ac:dyDescent="0.45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 x14ac:dyDescent="0.45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 x14ac:dyDescent="0.45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 x14ac:dyDescent="0.45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 x14ac:dyDescent="0.45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 x14ac:dyDescent="0.45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 x14ac:dyDescent="0.45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 x14ac:dyDescent="0.45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x14ac:dyDescent="0.45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 x14ac:dyDescent="0.45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 x14ac:dyDescent="0.45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 x14ac:dyDescent="0.45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 x14ac:dyDescent="0.45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 x14ac:dyDescent="0.45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 x14ac:dyDescent="0.45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 x14ac:dyDescent="0.45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 x14ac:dyDescent="0.45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/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 x14ac:dyDescent="0.45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 x14ac:dyDescent="0.45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 x14ac:dyDescent="0.45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 x14ac:dyDescent="0.45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 x14ac:dyDescent="0.45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 x14ac:dyDescent="0.45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 x14ac:dyDescent="0.45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 x14ac:dyDescent="0.45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 x14ac:dyDescent="0.45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 x14ac:dyDescent="0.45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 x14ac:dyDescent="0.45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 x14ac:dyDescent="0.45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 x14ac:dyDescent="0.45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 x14ac:dyDescent="0.45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 x14ac:dyDescent="0.45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 x14ac:dyDescent="0.45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 x14ac:dyDescent="0.45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 x14ac:dyDescent="0.45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 x14ac:dyDescent="0.45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 x14ac:dyDescent="0.45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 x14ac:dyDescent="0.45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 x14ac:dyDescent="0.45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 x14ac:dyDescent="0.45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 x14ac:dyDescent="0.45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 x14ac:dyDescent="0.45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 x14ac:dyDescent="0.45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 x14ac:dyDescent="0.45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 x14ac:dyDescent="0.45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 x14ac:dyDescent="0.45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 x14ac:dyDescent="0.45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 x14ac:dyDescent="0.45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 x14ac:dyDescent="0.45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 x14ac:dyDescent="0.45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 x14ac:dyDescent="0.45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 x14ac:dyDescent="0.45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 x14ac:dyDescent="0.45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 x14ac:dyDescent="0.45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 x14ac:dyDescent="0.45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 x14ac:dyDescent="0.45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 x14ac:dyDescent="0.45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 x14ac:dyDescent="0.45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x14ac:dyDescent="0.45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 x14ac:dyDescent="0.45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 x14ac:dyDescent="0.45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 x14ac:dyDescent="0.45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x14ac:dyDescent="0.45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 x14ac:dyDescent="0.45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 x14ac:dyDescent="0.45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 x14ac:dyDescent="0.45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 x14ac:dyDescent="0.45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 x14ac:dyDescent="0.45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 x14ac:dyDescent="0.45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 x14ac:dyDescent="0.45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 x14ac:dyDescent="0.45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 x14ac:dyDescent="0.45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 x14ac:dyDescent="0.45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 x14ac:dyDescent="0.45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 x14ac:dyDescent="0.45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 x14ac:dyDescent="0.45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 x14ac:dyDescent="0.45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 x14ac:dyDescent="0.45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 x14ac:dyDescent="0.45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 x14ac:dyDescent="0.45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 x14ac:dyDescent="0.45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 x14ac:dyDescent="0.45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 x14ac:dyDescent="0.45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/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 x14ac:dyDescent="0.45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 x14ac:dyDescent="0.45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 x14ac:dyDescent="0.45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 x14ac:dyDescent="0.45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 x14ac:dyDescent="0.45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 x14ac:dyDescent="0.45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 x14ac:dyDescent="0.45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x14ac:dyDescent="0.45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 x14ac:dyDescent="0.45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 x14ac:dyDescent="0.45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 x14ac:dyDescent="0.45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 x14ac:dyDescent="0.45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 x14ac:dyDescent="0.45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 x14ac:dyDescent="0.45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 x14ac:dyDescent="0.45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 x14ac:dyDescent="0.45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 x14ac:dyDescent="0.45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 x14ac:dyDescent="0.45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 x14ac:dyDescent="0.45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 x14ac:dyDescent="0.45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 x14ac:dyDescent="0.45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 x14ac:dyDescent="0.45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 x14ac:dyDescent="0.45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 x14ac:dyDescent="0.45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 x14ac:dyDescent="0.45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 x14ac:dyDescent="0.45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 x14ac:dyDescent="0.45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 x14ac:dyDescent="0.45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 x14ac:dyDescent="0.45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 x14ac:dyDescent="0.45">
      <c r="A1049" s="2" t="s">
        <v>1080</v>
      </c>
      <c r="B1049" s="3">
        <v>45708</v>
      </c>
      <c r="C1049" s="2" t="s">
        <v>723</v>
      </c>
      <c r="D1049" s="2" t="s">
        <v>28</v>
      </c>
      <c r="E1049" s="2"/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 x14ac:dyDescent="0.45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 x14ac:dyDescent="0.45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 x14ac:dyDescent="0.45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 x14ac:dyDescent="0.45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 x14ac:dyDescent="0.45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x14ac:dyDescent="0.45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 x14ac:dyDescent="0.45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 x14ac:dyDescent="0.45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 x14ac:dyDescent="0.45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 x14ac:dyDescent="0.45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 x14ac:dyDescent="0.45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 x14ac:dyDescent="0.45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 x14ac:dyDescent="0.45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 x14ac:dyDescent="0.45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 x14ac:dyDescent="0.45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 x14ac:dyDescent="0.45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 x14ac:dyDescent="0.45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 x14ac:dyDescent="0.45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 x14ac:dyDescent="0.45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 x14ac:dyDescent="0.45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 x14ac:dyDescent="0.45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 x14ac:dyDescent="0.45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 x14ac:dyDescent="0.45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 x14ac:dyDescent="0.45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 x14ac:dyDescent="0.45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 x14ac:dyDescent="0.45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 x14ac:dyDescent="0.45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 x14ac:dyDescent="0.45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 x14ac:dyDescent="0.45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 x14ac:dyDescent="0.45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 x14ac:dyDescent="0.45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 x14ac:dyDescent="0.45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 x14ac:dyDescent="0.45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 x14ac:dyDescent="0.45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 x14ac:dyDescent="0.45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 x14ac:dyDescent="0.45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 x14ac:dyDescent="0.45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 x14ac:dyDescent="0.45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 x14ac:dyDescent="0.45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 x14ac:dyDescent="0.45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 x14ac:dyDescent="0.45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 x14ac:dyDescent="0.45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 x14ac:dyDescent="0.45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 x14ac:dyDescent="0.45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 x14ac:dyDescent="0.45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 x14ac:dyDescent="0.45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 x14ac:dyDescent="0.45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 x14ac:dyDescent="0.45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 x14ac:dyDescent="0.45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 x14ac:dyDescent="0.45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 x14ac:dyDescent="0.45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 x14ac:dyDescent="0.45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 x14ac:dyDescent="0.45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 x14ac:dyDescent="0.45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 x14ac:dyDescent="0.45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 x14ac:dyDescent="0.45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 x14ac:dyDescent="0.45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 x14ac:dyDescent="0.45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 x14ac:dyDescent="0.45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 x14ac:dyDescent="0.45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 x14ac:dyDescent="0.45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 x14ac:dyDescent="0.45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 x14ac:dyDescent="0.45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 x14ac:dyDescent="0.45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 x14ac:dyDescent="0.45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 x14ac:dyDescent="0.45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 x14ac:dyDescent="0.45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 x14ac:dyDescent="0.45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 x14ac:dyDescent="0.45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 x14ac:dyDescent="0.45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 x14ac:dyDescent="0.45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 x14ac:dyDescent="0.45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 x14ac:dyDescent="0.45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 x14ac:dyDescent="0.45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 x14ac:dyDescent="0.45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 x14ac:dyDescent="0.45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 x14ac:dyDescent="0.45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 x14ac:dyDescent="0.45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 x14ac:dyDescent="0.45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 x14ac:dyDescent="0.45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 x14ac:dyDescent="0.45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 x14ac:dyDescent="0.45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 x14ac:dyDescent="0.45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 x14ac:dyDescent="0.45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 x14ac:dyDescent="0.45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 x14ac:dyDescent="0.45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/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 x14ac:dyDescent="0.45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 x14ac:dyDescent="0.45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 x14ac:dyDescent="0.45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 x14ac:dyDescent="0.45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 x14ac:dyDescent="0.45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 x14ac:dyDescent="0.45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 x14ac:dyDescent="0.45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 x14ac:dyDescent="0.45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 x14ac:dyDescent="0.45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 x14ac:dyDescent="0.45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 x14ac:dyDescent="0.45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x14ac:dyDescent="0.45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 x14ac:dyDescent="0.45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x14ac:dyDescent="0.45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/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 x14ac:dyDescent="0.45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 x14ac:dyDescent="0.45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 x14ac:dyDescent="0.45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 x14ac:dyDescent="0.45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 x14ac:dyDescent="0.45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 x14ac:dyDescent="0.45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 x14ac:dyDescent="0.45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 x14ac:dyDescent="0.45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 x14ac:dyDescent="0.45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 x14ac:dyDescent="0.45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 x14ac:dyDescent="0.45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 x14ac:dyDescent="0.45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 x14ac:dyDescent="0.45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 x14ac:dyDescent="0.45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 x14ac:dyDescent="0.45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 x14ac:dyDescent="0.45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 x14ac:dyDescent="0.45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 x14ac:dyDescent="0.45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 x14ac:dyDescent="0.45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 x14ac:dyDescent="0.45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 x14ac:dyDescent="0.45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 x14ac:dyDescent="0.45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 x14ac:dyDescent="0.45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 x14ac:dyDescent="0.45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 x14ac:dyDescent="0.45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 x14ac:dyDescent="0.45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 x14ac:dyDescent="0.45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 x14ac:dyDescent="0.45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 x14ac:dyDescent="0.45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 x14ac:dyDescent="0.45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 x14ac:dyDescent="0.45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x14ac:dyDescent="0.45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 x14ac:dyDescent="0.45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 x14ac:dyDescent="0.45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 x14ac:dyDescent="0.45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 x14ac:dyDescent="0.45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 x14ac:dyDescent="0.45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 x14ac:dyDescent="0.45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 x14ac:dyDescent="0.45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 x14ac:dyDescent="0.45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 x14ac:dyDescent="0.45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 x14ac:dyDescent="0.45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 x14ac:dyDescent="0.45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 x14ac:dyDescent="0.45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 x14ac:dyDescent="0.45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 x14ac:dyDescent="0.45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 x14ac:dyDescent="0.45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 x14ac:dyDescent="0.45">
      <c r="A1197" s="2" t="s">
        <v>1228</v>
      </c>
      <c r="B1197" s="3">
        <v>45710</v>
      </c>
      <c r="C1197" s="2" t="s">
        <v>723</v>
      </c>
      <c r="D1197" s="2" t="s">
        <v>18</v>
      </c>
      <c r="E1197" s="2"/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 x14ac:dyDescent="0.45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 x14ac:dyDescent="0.45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 x14ac:dyDescent="0.45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 x14ac:dyDescent="0.45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 x14ac:dyDescent="0.45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 x14ac:dyDescent="0.45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 x14ac:dyDescent="0.45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 x14ac:dyDescent="0.45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 x14ac:dyDescent="0.45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 x14ac:dyDescent="0.45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 x14ac:dyDescent="0.45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 x14ac:dyDescent="0.45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 x14ac:dyDescent="0.45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 x14ac:dyDescent="0.45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 x14ac:dyDescent="0.45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 x14ac:dyDescent="0.45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 x14ac:dyDescent="0.45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 x14ac:dyDescent="0.45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 x14ac:dyDescent="0.45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 x14ac:dyDescent="0.45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 x14ac:dyDescent="0.45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 x14ac:dyDescent="0.45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 x14ac:dyDescent="0.45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 x14ac:dyDescent="0.45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 x14ac:dyDescent="0.45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 x14ac:dyDescent="0.45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 x14ac:dyDescent="0.45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 x14ac:dyDescent="0.45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 x14ac:dyDescent="0.45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 x14ac:dyDescent="0.45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 x14ac:dyDescent="0.45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 x14ac:dyDescent="0.45">
      <c r="A1229" s="2" t="s">
        <v>1260</v>
      </c>
      <c r="B1229" s="3">
        <v>45739</v>
      </c>
      <c r="C1229" s="2" t="s">
        <v>723</v>
      </c>
      <c r="D1229" s="2" t="s">
        <v>28</v>
      </c>
      <c r="E1229" s="2"/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 x14ac:dyDescent="0.45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 x14ac:dyDescent="0.45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 x14ac:dyDescent="0.45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 x14ac:dyDescent="0.45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 x14ac:dyDescent="0.45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 x14ac:dyDescent="0.45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 x14ac:dyDescent="0.45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 x14ac:dyDescent="0.45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/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 x14ac:dyDescent="0.45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x14ac:dyDescent="0.45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 x14ac:dyDescent="0.45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 x14ac:dyDescent="0.45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/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 x14ac:dyDescent="0.45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 x14ac:dyDescent="0.45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 x14ac:dyDescent="0.45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 x14ac:dyDescent="0.45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 x14ac:dyDescent="0.45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 x14ac:dyDescent="0.45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 x14ac:dyDescent="0.45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 x14ac:dyDescent="0.45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 x14ac:dyDescent="0.45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 x14ac:dyDescent="0.45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 x14ac:dyDescent="0.45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x14ac:dyDescent="0.45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 x14ac:dyDescent="0.45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 x14ac:dyDescent="0.45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 x14ac:dyDescent="0.45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 x14ac:dyDescent="0.45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/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 x14ac:dyDescent="0.45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 x14ac:dyDescent="0.45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 x14ac:dyDescent="0.45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 x14ac:dyDescent="0.45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 x14ac:dyDescent="0.45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 x14ac:dyDescent="0.45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 x14ac:dyDescent="0.45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 x14ac:dyDescent="0.45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 x14ac:dyDescent="0.45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 x14ac:dyDescent="0.45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 x14ac:dyDescent="0.45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 x14ac:dyDescent="0.45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 x14ac:dyDescent="0.45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 x14ac:dyDescent="0.45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 x14ac:dyDescent="0.45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 x14ac:dyDescent="0.45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 x14ac:dyDescent="0.45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 x14ac:dyDescent="0.45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 x14ac:dyDescent="0.45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 x14ac:dyDescent="0.45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 x14ac:dyDescent="0.45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 x14ac:dyDescent="0.45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 x14ac:dyDescent="0.45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 x14ac:dyDescent="0.45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 x14ac:dyDescent="0.45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 x14ac:dyDescent="0.45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 x14ac:dyDescent="0.45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 x14ac:dyDescent="0.45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 x14ac:dyDescent="0.45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 x14ac:dyDescent="0.45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 x14ac:dyDescent="0.45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 x14ac:dyDescent="0.45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 x14ac:dyDescent="0.45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 x14ac:dyDescent="0.45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 x14ac:dyDescent="0.45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 x14ac:dyDescent="0.45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 x14ac:dyDescent="0.45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 x14ac:dyDescent="0.45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 x14ac:dyDescent="0.45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 x14ac:dyDescent="0.45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 x14ac:dyDescent="0.45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x14ac:dyDescent="0.45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 x14ac:dyDescent="0.45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 x14ac:dyDescent="0.45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 x14ac:dyDescent="0.45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 x14ac:dyDescent="0.45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 x14ac:dyDescent="0.45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 x14ac:dyDescent="0.45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 x14ac:dyDescent="0.45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 x14ac:dyDescent="0.45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 x14ac:dyDescent="0.45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 x14ac:dyDescent="0.45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 x14ac:dyDescent="0.45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 x14ac:dyDescent="0.45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 x14ac:dyDescent="0.45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x14ac:dyDescent="0.45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 x14ac:dyDescent="0.45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 x14ac:dyDescent="0.45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 x14ac:dyDescent="0.45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 x14ac:dyDescent="0.45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 x14ac:dyDescent="0.45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 x14ac:dyDescent="0.45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 x14ac:dyDescent="0.45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x14ac:dyDescent="0.45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 x14ac:dyDescent="0.45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 x14ac:dyDescent="0.45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 x14ac:dyDescent="0.45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 x14ac:dyDescent="0.45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 x14ac:dyDescent="0.45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 x14ac:dyDescent="0.45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 x14ac:dyDescent="0.45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 x14ac:dyDescent="0.45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/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 x14ac:dyDescent="0.45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 x14ac:dyDescent="0.45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 x14ac:dyDescent="0.45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 x14ac:dyDescent="0.45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 x14ac:dyDescent="0.45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 x14ac:dyDescent="0.45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 x14ac:dyDescent="0.45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 x14ac:dyDescent="0.45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 x14ac:dyDescent="0.45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 x14ac:dyDescent="0.45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 x14ac:dyDescent="0.45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 x14ac:dyDescent="0.45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 x14ac:dyDescent="0.45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 x14ac:dyDescent="0.45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 x14ac:dyDescent="0.45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 x14ac:dyDescent="0.45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 x14ac:dyDescent="0.45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 x14ac:dyDescent="0.45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 x14ac:dyDescent="0.45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 x14ac:dyDescent="0.45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 x14ac:dyDescent="0.45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 x14ac:dyDescent="0.45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 x14ac:dyDescent="0.45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 x14ac:dyDescent="0.45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 x14ac:dyDescent="0.45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 x14ac:dyDescent="0.45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 x14ac:dyDescent="0.45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 x14ac:dyDescent="0.45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/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 x14ac:dyDescent="0.45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 x14ac:dyDescent="0.45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 x14ac:dyDescent="0.45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 x14ac:dyDescent="0.45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 x14ac:dyDescent="0.45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 x14ac:dyDescent="0.45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 x14ac:dyDescent="0.45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 x14ac:dyDescent="0.45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 x14ac:dyDescent="0.45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 x14ac:dyDescent="0.45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 x14ac:dyDescent="0.45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 x14ac:dyDescent="0.45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 x14ac:dyDescent="0.45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 x14ac:dyDescent="0.45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 x14ac:dyDescent="0.45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 x14ac:dyDescent="0.45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 x14ac:dyDescent="0.45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 x14ac:dyDescent="0.45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 x14ac:dyDescent="0.45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 x14ac:dyDescent="0.45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 x14ac:dyDescent="0.45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 x14ac:dyDescent="0.45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 x14ac:dyDescent="0.45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x14ac:dyDescent="0.45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 x14ac:dyDescent="0.45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 x14ac:dyDescent="0.45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 x14ac:dyDescent="0.45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 x14ac:dyDescent="0.45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 x14ac:dyDescent="0.45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 x14ac:dyDescent="0.45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 x14ac:dyDescent="0.45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 x14ac:dyDescent="0.45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 x14ac:dyDescent="0.45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 x14ac:dyDescent="0.45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 x14ac:dyDescent="0.45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 x14ac:dyDescent="0.45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 x14ac:dyDescent="0.45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 x14ac:dyDescent="0.45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 x14ac:dyDescent="0.45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 x14ac:dyDescent="0.45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/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 x14ac:dyDescent="0.45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 x14ac:dyDescent="0.45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 x14ac:dyDescent="0.45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 x14ac:dyDescent="0.45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 x14ac:dyDescent="0.45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</row>
    <row r="1403" spans="1:16" x14ac:dyDescent="0.45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</row>
    <row r="1404" spans="1:16" x14ac:dyDescent="0.45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 x14ac:dyDescent="0.45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</row>
    <row r="1406" spans="1:16" x14ac:dyDescent="0.45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 x14ac:dyDescent="0.45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 x14ac:dyDescent="0.45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 x14ac:dyDescent="0.45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opLeftCell="A8" workbookViewId="0">
      <selection activeCell="B7" sqref="B7"/>
    </sheetView>
  </sheetViews>
  <sheetFormatPr defaultRowHeight="14.25" x14ac:dyDescent="0.45"/>
  <cols>
    <col min="1" max="1" width="36" customWidth="1"/>
    <col min="2" max="2" width="24" customWidth="1"/>
    <col min="3" max="3" width="54.3984375" bestFit="1" customWidth="1"/>
  </cols>
  <sheetData>
    <row r="1" spans="1:3" ht="28.05" customHeight="1" x14ac:dyDescent="0.45">
      <c r="A1" s="1" t="s">
        <v>1433</v>
      </c>
      <c r="B1" s="1" t="s">
        <v>1434</v>
      </c>
      <c r="C1" s="1" t="s">
        <v>1435</v>
      </c>
    </row>
    <row r="2" spans="1:3" ht="28.05" customHeight="1" x14ac:dyDescent="0.45">
      <c r="A2" s="4" t="s">
        <v>1436</v>
      </c>
      <c r="B2" s="5">
        <f>COUNTA('Raw Data'!A:A)-1</f>
        <v>1408</v>
      </c>
      <c r="C2" s="4" t="s">
        <v>1437</v>
      </c>
    </row>
    <row r="3" spans="1:3" ht="28.05" customHeight="1" x14ac:dyDescent="0.45">
      <c r="A3" s="6" t="s">
        <v>1438</v>
      </c>
      <c r="B3" s="7">
        <f>COUNTIF('Raw Data'!E2:E1409,"")</f>
        <v>18</v>
      </c>
      <c r="C3" s="6" t="s">
        <v>1439</v>
      </c>
    </row>
    <row r="4" spans="1:3" ht="28.05" customHeight="1" x14ac:dyDescent="0.45">
      <c r="A4" s="4" t="s">
        <v>1440</v>
      </c>
      <c r="B4" s="5">
        <f>COUNTIF('Raw Data'!F2:F1409,"")</f>
        <v>24</v>
      </c>
      <c r="C4" s="4" t="s">
        <v>1441</v>
      </c>
    </row>
    <row r="5" spans="1:3" ht="28.05" customHeight="1" x14ac:dyDescent="0.45">
      <c r="A5" s="6" t="s">
        <v>1442</v>
      </c>
      <c r="B5" s="7">
        <f>COUNTBLANK('Raw Data'!P2:P1409)</f>
        <v>14</v>
      </c>
      <c r="C5" s="6" t="s">
        <v>1443</v>
      </c>
    </row>
    <row r="6" spans="1:3" ht="28.05" customHeight="1" x14ac:dyDescent="0.45">
      <c r="A6" s="4" t="s">
        <v>1444</v>
      </c>
      <c r="B6" s="5">
        <f>COUNTBLANK('Raw Data'!O2:O1409)</f>
        <v>1336</v>
      </c>
      <c r="C6" s="4" t="s">
        <v>1445</v>
      </c>
    </row>
    <row r="7" spans="1:3" ht="28.05" customHeight="1" x14ac:dyDescent="0.45">
      <c r="A7" s="6" t="s">
        <v>1446</v>
      </c>
      <c r="B7" s="8">
        <f>SUMPRODUCT(('Raw Data'!A2:A1409&lt;&gt;"")*(COUNTIF('Raw Data'!A$2:A$1409,'Raw Data'!A2:A1409)&gt;1)*1)-SUMPRODUCT(('Raw Data'!A2:A1409&lt;&gt;"")*(COUNTIF('Raw Data'!A$2:A$1409,'Raw Data'!A2:A1409)&gt;1)*1/COUNTIF('Raw Data'!A$2:A$1409,'Raw Data'!A2:A1409))</f>
        <v>8</v>
      </c>
      <c r="C7" s="6" t="s">
        <v>1447</v>
      </c>
    </row>
    <row r="8" spans="1:3" ht="28.05" customHeight="1" x14ac:dyDescent="0.45">
      <c r="A8" s="4" t="s">
        <v>1448</v>
      </c>
      <c r="B8" s="5">
        <f>COUNTA('Clean Data'!A:A)-1</f>
        <v>1412</v>
      </c>
      <c r="C8" s="4" t="s">
        <v>1449</v>
      </c>
    </row>
    <row r="9" spans="1:3" ht="28.05" customHeight="1" x14ac:dyDescent="0.45">
      <c r="A9" s="6" t="s">
        <v>1450</v>
      </c>
      <c r="B9" s="7">
        <f>SUMPRODUCT(('Raw Data'!H2:H1409&lt;&gt;0)*('Raw Data'!H2:H1409&lt;&gt;1)*1)</f>
        <v>0</v>
      </c>
      <c r="C9" s="6" t="s">
        <v>1451</v>
      </c>
    </row>
    <row r="10" spans="1:3" ht="28.05" customHeight="1" x14ac:dyDescent="0.45">
      <c r="A10" s="4" t="s">
        <v>1452</v>
      </c>
      <c r="B10" s="5">
        <f>SUMPRODUCT(('Raw Data'!I2:I1409&lt;&gt;0)*('Raw Data'!I2:I1409&lt;&gt;1)*1)</f>
        <v>0</v>
      </c>
      <c r="C10" s="4" t="s">
        <v>1451</v>
      </c>
    </row>
    <row r="11" spans="1:3" ht="28.05" customHeight="1" x14ac:dyDescent="0.45">
      <c r="A11" s="6" t="s">
        <v>1453</v>
      </c>
      <c r="B11" s="7">
        <f>SUMPRODUCT(('Raw Data'!J2:J1409&lt;&gt;0)*('Raw Data'!J2:J1409&lt;&gt;1)*1)</f>
        <v>0</v>
      </c>
      <c r="C11" s="6" t="s">
        <v>1451</v>
      </c>
    </row>
    <row r="12" spans="1:3" ht="28.05" customHeight="1" x14ac:dyDescent="0.45">
      <c r="A12" s="4" t="s">
        <v>1454</v>
      </c>
      <c r="B12" s="5">
        <f>SUMPRODUCT(('Raw Data'!K2:K1409&lt;&gt;0)*('Raw Data'!K2:K1409&lt;&gt;1)*1)</f>
        <v>0</v>
      </c>
      <c r="C12" s="4" t="s">
        <v>1451</v>
      </c>
    </row>
    <row r="13" spans="1:3" ht="28.05" customHeight="1" x14ac:dyDescent="0.45">
      <c r="A13" s="6" t="s">
        <v>1455</v>
      </c>
      <c r="B13" s="7">
        <f>SUMPRODUCT(('Raw Data'!N2:N1409&lt;&gt;0)*('Raw Data'!N2:N1409&lt;&gt;1)*1)</f>
        <v>0</v>
      </c>
      <c r="C13" s="6" t="s">
        <v>1451</v>
      </c>
    </row>
    <row r="14" spans="1:3" ht="28.05" customHeight="1" x14ac:dyDescent="0.45">
      <c r="A14" s="4" t="s">
        <v>1456</v>
      </c>
      <c r="B14" s="5">
        <f>SUMPRODUCT(('Raw Data'!L2:L1409&gt;AVERAGE('Raw Data'!L2:L1409)+3*STDEV('Raw Data'!L2:L1409))*1)</f>
        <v>18</v>
      </c>
      <c r="C14" s="4" t="s">
        <v>1457</v>
      </c>
    </row>
    <row r="15" spans="1:3" ht="28.05" customHeight="1" x14ac:dyDescent="0.45">
      <c r="A15" s="6" t="s">
        <v>1458</v>
      </c>
      <c r="B15" s="5">
        <f>COUNTIF('Clean Data'!C2:C1401,"Control")</f>
        <v>690</v>
      </c>
      <c r="C15" s="6" t="s">
        <v>1459</v>
      </c>
    </row>
    <row r="16" spans="1:3" ht="28.05" customHeight="1" x14ac:dyDescent="0.45">
      <c r="A16" s="4" t="s">
        <v>1460</v>
      </c>
      <c r="B16" s="5">
        <f>COUNTIF('Clean Data'!C2:C1401,"Treatment")</f>
        <v>710</v>
      </c>
      <c r="C16" s="4" t="s">
        <v>1461</v>
      </c>
    </row>
    <row r="17" spans="1:3" ht="28.05" customHeight="1" x14ac:dyDescent="0.45">
      <c r="A17" s="6" t="s">
        <v>1462</v>
      </c>
      <c r="B17" s="7" t="str">
        <f>COUNTIFS('Clean Data'!C2:C1401,"Control",'Clean Data'!D2:D1401,"North")&amp;" | "&amp;COUNTIFS('Clean Data'!C2:C1401,"Control",'Clean Data'!D2:D1401,"South")&amp;" | "&amp;COUNTIFS('Clean Data'!C2:C1401,"Control",'Clean Data'!D2:D1401,"East")&amp;" | "&amp;COUNTIFS('Clean Data'!C2:C1401,"Control",'Clean Data'!D2:D1401,"West")</f>
        <v>201 | 184 | 157 | 148</v>
      </c>
      <c r="C17" s="6" t="s">
        <v>1463</v>
      </c>
    </row>
    <row r="18" spans="1:3" ht="28.05" customHeight="1" x14ac:dyDescent="0.45">
      <c r="A18" s="4" t="s">
        <v>1464</v>
      </c>
      <c r="B18" s="5" t="str">
        <f>COUNTIFS('Clean Data'!C2:C1401,"Treatment",'Clean Data'!D2:D1401,"North")&amp;" | "&amp;COUNTIFS('Clean Data'!C2:C1401,"Treatment",'Clean Data'!D2:D1401,"South")&amp;" | "&amp;COUNTIFS('Clean Data'!C2:C1401,"Treatment",'Clean Data'!D2:D1401,"East")&amp;" | "&amp;COUNTIFS('Clean Data'!C2:C1401,"Treatment",'Clean Data'!D2:D1401,"West")</f>
        <v>180 | 183 | 170 | 177</v>
      </c>
      <c r="C18" s="4" t="s">
        <v>1465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15"/>
  <sheetViews>
    <sheetView topLeftCell="A1393" workbookViewId="0">
      <selection activeCell="B1415" sqref="B1415"/>
    </sheetView>
  </sheetViews>
  <sheetFormatPr defaultRowHeight="14.25" x14ac:dyDescent="0.45"/>
  <cols>
    <col min="1" max="1" width="14" customWidth="1"/>
    <col min="2" max="2" width="14.53125" bestFit="1" customWidth="1"/>
    <col min="3" max="3" width="18" customWidth="1"/>
    <col min="4" max="5" width="14" customWidth="1"/>
    <col min="6" max="6" width="16" customWidth="1"/>
    <col min="7" max="7" width="14" customWidth="1"/>
    <col min="8" max="8" width="22" customWidth="1"/>
    <col min="9" max="9" width="15" customWidth="1"/>
    <col min="10" max="10" width="22" customWidth="1"/>
    <col min="11" max="11" width="19" customWidth="1"/>
    <col min="12" max="12" width="14" customWidth="1"/>
    <col min="13" max="13" width="21" customWidth="1"/>
    <col min="14" max="14" width="18" customWidth="1"/>
    <col min="15" max="15" width="17" customWidth="1"/>
    <col min="16" max="16" width="18" customWidth="1"/>
  </cols>
  <sheetData>
    <row r="1" spans="1:16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 x14ac:dyDescent="0.45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 x14ac:dyDescent="0.45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 x14ac:dyDescent="0.45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 x14ac:dyDescent="0.45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 x14ac:dyDescent="0.45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 x14ac:dyDescent="0.45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 x14ac:dyDescent="0.45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 x14ac:dyDescent="0.45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 x14ac:dyDescent="0.45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 x14ac:dyDescent="0.45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 x14ac:dyDescent="0.45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 x14ac:dyDescent="0.45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 x14ac:dyDescent="0.45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 x14ac:dyDescent="0.45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 x14ac:dyDescent="0.45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 x14ac:dyDescent="0.45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 x14ac:dyDescent="0.45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 x14ac:dyDescent="0.45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 x14ac:dyDescent="0.45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 x14ac:dyDescent="0.45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 x14ac:dyDescent="0.45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 x14ac:dyDescent="0.45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 x14ac:dyDescent="0.45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 x14ac:dyDescent="0.45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 x14ac:dyDescent="0.45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 x14ac:dyDescent="0.45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 x14ac:dyDescent="0.45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 x14ac:dyDescent="0.45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 x14ac:dyDescent="0.45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 x14ac:dyDescent="0.45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 x14ac:dyDescent="0.45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 x14ac:dyDescent="0.45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 x14ac:dyDescent="0.45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 x14ac:dyDescent="0.45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 x14ac:dyDescent="0.45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 x14ac:dyDescent="0.45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 x14ac:dyDescent="0.45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 x14ac:dyDescent="0.45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 x14ac:dyDescent="0.45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 x14ac:dyDescent="0.45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 x14ac:dyDescent="0.45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 x14ac:dyDescent="0.45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 x14ac:dyDescent="0.45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 x14ac:dyDescent="0.45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 x14ac:dyDescent="0.45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 x14ac:dyDescent="0.45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 x14ac:dyDescent="0.45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 x14ac:dyDescent="0.45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 x14ac:dyDescent="0.45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 x14ac:dyDescent="0.45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 x14ac:dyDescent="0.45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 x14ac:dyDescent="0.45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 x14ac:dyDescent="0.45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 x14ac:dyDescent="0.45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 x14ac:dyDescent="0.45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 x14ac:dyDescent="0.45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 x14ac:dyDescent="0.45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 x14ac:dyDescent="0.45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 x14ac:dyDescent="0.45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 x14ac:dyDescent="0.45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 x14ac:dyDescent="0.45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 x14ac:dyDescent="0.45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 x14ac:dyDescent="0.45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 x14ac:dyDescent="0.45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 x14ac:dyDescent="0.45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 x14ac:dyDescent="0.45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 x14ac:dyDescent="0.45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 x14ac:dyDescent="0.45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 x14ac:dyDescent="0.45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 x14ac:dyDescent="0.45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 x14ac:dyDescent="0.45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 x14ac:dyDescent="0.45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 x14ac:dyDescent="0.45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 x14ac:dyDescent="0.45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 x14ac:dyDescent="0.45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 x14ac:dyDescent="0.45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 x14ac:dyDescent="0.45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 x14ac:dyDescent="0.45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x14ac:dyDescent="0.45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 x14ac:dyDescent="0.45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 x14ac:dyDescent="0.45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 x14ac:dyDescent="0.45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 x14ac:dyDescent="0.45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 x14ac:dyDescent="0.45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 x14ac:dyDescent="0.45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 x14ac:dyDescent="0.45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 x14ac:dyDescent="0.45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 x14ac:dyDescent="0.45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 x14ac:dyDescent="0.45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 x14ac:dyDescent="0.45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 x14ac:dyDescent="0.45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 x14ac:dyDescent="0.45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 x14ac:dyDescent="0.45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 x14ac:dyDescent="0.45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 x14ac:dyDescent="0.45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 x14ac:dyDescent="0.45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 x14ac:dyDescent="0.45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 x14ac:dyDescent="0.45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x14ac:dyDescent="0.45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 x14ac:dyDescent="0.45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 x14ac:dyDescent="0.45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 x14ac:dyDescent="0.45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x14ac:dyDescent="0.45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 x14ac:dyDescent="0.45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 x14ac:dyDescent="0.45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 x14ac:dyDescent="0.45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 x14ac:dyDescent="0.45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 x14ac:dyDescent="0.45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 x14ac:dyDescent="0.45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 x14ac:dyDescent="0.45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 x14ac:dyDescent="0.45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 x14ac:dyDescent="0.45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 x14ac:dyDescent="0.45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 x14ac:dyDescent="0.45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 x14ac:dyDescent="0.45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 x14ac:dyDescent="0.45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 x14ac:dyDescent="0.45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 x14ac:dyDescent="0.45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 x14ac:dyDescent="0.45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 x14ac:dyDescent="0.45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 x14ac:dyDescent="0.45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 x14ac:dyDescent="0.45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 x14ac:dyDescent="0.45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 x14ac:dyDescent="0.45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 x14ac:dyDescent="0.45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 x14ac:dyDescent="0.45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 x14ac:dyDescent="0.45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 x14ac:dyDescent="0.45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 x14ac:dyDescent="0.45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 x14ac:dyDescent="0.45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 x14ac:dyDescent="0.45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 x14ac:dyDescent="0.45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 x14ac:dyDescent="0.45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 x14ac:dyDescent="0.45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 x14ac:dyDescent="0.45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 x14ac:dyDescent="0.45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 x14ac:dyDescent="0.45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 x14ac:dyDescent="0.45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 x14ac:dyDescent="0.45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 x14ac:dyDescent="0.45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 x14ac:dyDescent="0.45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 x14ac:dyDescent="0.45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 x14ac:dyDescent="0.45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 x14ac:dyDescent="0.45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 x14ac:dyDescent="0.45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 x14ac:dyDescent="0.45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 x14ac:dyDescent="0.45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 x14ac:dyDescent="0.45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x14ac:dyDescent="0.45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 x14ac:dyDescent="0.45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 x14ac:dyDescent="0.45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 x14ac:dyDescent="0.45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 x14ac:dyDescent="0.45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 x14ac:dyDescent="0.45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 x14ac:dyDescent="0.45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 x14ac:dyDescent="0.45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 x14ac:dyDescent="0.45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 x14ac:dyDescent="0.45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 x14ac:dyDescent="0.45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 x14ac:dyDescent="0.45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 x14ac:dyDescent="0.45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 x14ac:dyDescent="0.45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 x14ac:dyDescent="0.45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 x14ac:dyDescent="0.45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 x14ac:dyDescent="0.45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 x14ac:dyDescent="0.45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 x14ac:dyDescent="0.45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 x14ac:dyDescent="0.45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 x14ac:dyDescent="0.45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 x14ac:dyDescent="0.45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 x14ac:dyDescent="0.45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 x14ac:dyDescent="0.45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 x14ac:dyDescent="0.45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 x14ac:dyDescent="0.45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 x14ac:dyDescent="0.45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 x14ac:dyDescent="0.45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 x14ac:dyDescent="0.45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 x14ac:dyDescent="0.45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 x14ac:dyDescent="0.45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 x14ac:dyDescent="0.45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 x14ac:dyDescent="0.45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 x14ac:dyDescent="0.45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 x14ac:dyDescent="0.45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 x14ac:dyDescent="0.45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 x14ac:dyDescent="0.45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 x14ac:dyDescent="0.45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 x14ac:dyDescent="0.45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 x14ac:dyDescent="0.45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 x14ac:dyDescent="0.45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 x14ac:dyDescent="0.45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 x14ac:dyDescent="0.45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 x14ac:dyDescent="0.45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 x14ac:dyDescent="0.45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 x14ac:dyDescent="0.45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 x14ac:dyDescent="0.45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 x14ac:dyDescent="0.45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x14ac:dyDescent="0.45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 x14ac:dyDescent="0.45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 x14ac:dyDescent="0.45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 x14ac:dyDescent="0.45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 x14ac:dyDescent="0.45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 x14ac:dyDescent="0.45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 x14ac:dyDescent="0.45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 x14ac:dyDescent="0.45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 x14ac:dyDescent="0.45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 x14ac:dyDescent="0.45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 x14ac:dyDescent="0.45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 x14ac:dyDescent="0.45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 x14ac:dyDescent="0.45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 x14ac:dyDescent="0.45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x14ac:dyDescent="0.45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 x14ac:dyDescent="0.45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 x14ac:dyDescent="0.45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 x14ac:dyDescent="0.45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 x14ac:dyDescent="0.45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 x14ac:dyDescent="0.45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 x14ac:dyDescent="0.45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 x14ac:dyDescent="0.45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 x14ac:dyDescent="0.45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 x14ac:dyDescent="0.45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 x14ac:dyDescent="0.45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 x14ac:dyDescent="0.45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 x14ac:dyDescent="0.45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 x14ac:dyDescent="0.45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 x14ac:dyDescent="0.45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 x14ac:dyDescent="0.45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 x14ac:dyDescent="0.45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 x14ac:dyDescent="0.45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 x14ac:dyDescent="0.45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 x14ac:dyDescent="0.45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 x14ac:dyDescent="0.45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 x14ac:dyDescent="0.45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 x14ac:dyDescent="0.45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 x14ac:dyDescent="0.45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 x14ac:dyDescent="0.45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 x14ac:dyDescent="0.45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 x14ac:dyDescent="0.45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 x14ac:dyDescent="0.45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 x14ac:dyDescent="0.45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 x14ac:dyDescent="0.45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 x14ac:dyDescent="0.45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 x14ac:dyDescent="0.45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 x14ac:dyDescent="0.45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 x14ac:dyDescent="0.45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 x14ac:dyDescent="0.45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 x14ac:dyDescent="0.45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 x14ac:dyDescent="0.45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 x14ac:dyDescent="0.45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 x14ac:dyDescent="0.45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 x14ac:dyDescent="0.45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x14ac:dyDescent="0.45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 x14ac:dyDescent="0.45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 x14ac:dyDescent="0.45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 x14ac:dyDescent="0.45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 x14ac:dyDescent="0.45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 x14ac:dyDescent="0.45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 x14ac:dyDescent="0.45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 x14ac:dyDescent="0.45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 x14ac:dyDescent="0.45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 x14ac:dyDescent="0.45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 x14ac:dyDescent="0.45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 x14ac:dyDescent="0.45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 x14ac:dyDescent="0.45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 x14ac:dyDescent="0.45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 x14ac:dyDescent="0.45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 x14ac:dyDescent="0.45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 x14ac:dyDescent="0.45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 x14ac:dyDescent="0.45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 x14ac:dyDescent="0.45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 x14ac:dyDescent="0.45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 x14ac:dyDescent="0.45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 x14ac:dyDescent="0.45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 x14ac:dyDescent="0.45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 x14ac:dyDescent="0.45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 x14ac:dyDescent="0.45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 x14ac:dyDescent="0.45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 x14ac:dyDescent="0.45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 x14ac:dyDescent="0.45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 x14ac:dyDescent="0.45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 x14ac:dyDescent="0.45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 x14ac:dyDescent="0.45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 x14ac:dyDescent="0.45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 x14ac:dyDescent="0.45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 x14ac:dyDescent="0.45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 x14ac:dyDescent="0.45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 x14ac:dyDescent="0.45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 x14ac:dyDescent="0.45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 x14ac:dyDescent="0.45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 x14ac:dyDescent="0.45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 x14ac:dyDescent="0.45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 x14ac:dyDescent="0.45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 x14ac:dyDescent="0.45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 x14ac:dyDescent="0.45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 x14ac:dyDescent="0.45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 x14ac:dyDescent="0.45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 x14ac:dyDescent="0.45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 x14ac:dyDescent="0.45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 x14ac:dyDescent="0.45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 x14ac:dyDescent="0.45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 x14ac:dyDescent="0.45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 x14ac:dyDescent="0.45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 x14ac:dyDescent="0.45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x14ac:dyDescent="0.45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 x14ac:dyDescent="0.45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 x14ac:dyDescent="0.45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 x14ac:dyDescent="0.45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 x14ac:dyDescent="0.45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 x14ac:dyDescent="0.45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 x14ac:dyDescent="0.45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 x14ac:dyDescent="0.45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 x14ac:dyDescent="0.45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 x14ac:dyDescent="0.45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 x14ac:dyDescent="0.45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 x14ac:dyDescent="0.45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 x14ac:dyDescent="0.45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 x14ac:dyDescent="0.45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 x14ac:dyDescent="0.45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 x14ac:dyDescent="0.45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 x14ac:dyDescent="0.45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 x14ac:dyDescent="0.45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 x14ac:dyDescent="0.45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 x14ac:dyDescent="0.45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 x14ac:dyDescent="0.45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 x14ac:dyDescent="0.45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 x14ac:dyDescent="0.45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 x14ac:dyDescent="0.45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 x14ac:dyDescent="0.45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 x14ac:dyDescent="0.45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 x14ac:dyDescent="0.45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 x14ac:dyDescent="0.45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x14ac:dyDescent="0.45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 x14ac:dyDescent="0.45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 x14ac:dyDescent="0.45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 x14ac:dyDescent="0.45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 x14ac:dyDescent="0.45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 x14ac:dyDescent="0.45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 x14ac:dyDescent="0.45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 x14ac:dyDescent="0.45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 x14ac:dyDescent="0.45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 x14ac:dyDescent="0.45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 x14ac:dyDescent="0.45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 x14ac:dyDescent="0.45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 x14ac:dyDescent="0.45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 x14ac:dyDescent="0.45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 x14ac:dyDescent="0.45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 x14ac:dyDescent="0.45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 x14ac:dyDescent="0.45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 x14ac:dyDescent="0.45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 x14ac:dyDescent="0.45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 x14ac:dyDescent="0.45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 x14ac:dyDescent="0.45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 x14ac:dyDescent="0.45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 x14ac:dyDescent="0.45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 x14ac:dyDescent="0.45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 x14ac:dyDescent="0.45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 x14ac:dyDescent="0.45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 x14ac:dyDescent="0.45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 x14ac:dyDescent="0.45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 x14ac:dyDescent="0.45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 x14ac:dyDescent="0.45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 x14ac:dyDescent="0.45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 x14ac:dyDescent="0.45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 x14ac:dyDescent="0.45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 x14ac:dyDescent="0.45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 x14ac:dyDescent="0.45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 x14ac:dyDescent="0.45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 x14ac:dyDescent="0.45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 x14ac:dyDescent="0.45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 x14ac:dyDescent="0.45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 x14ac:dyDescent="0.45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 x14ac:dyDescent="0.45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 x14ac:dyDescent="0.45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 x14ac:dyDescent="0.45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 x14ac:dyDescent="0.45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 x14ac:dyDescent="0.45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 x14ac:dyDescent="0.45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 x14ac:dyDescent="0.45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 x14ac:dyDescent="0.45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 x14ac:dyDescent="0.45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 x14ac:dyDescent="0.45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 x14ac:dyDescent="0.45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 x14ac:dyDescent="0.45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 x14ac:dyDescent="0.45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 x14ac:dyDescent="0.45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 x14ac:dyDescent="0.45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 x14ac:dyDescent="0.45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 x14ac:dyDescent="0.45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 x14ac:dyDescent="0.45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 x14ac:dyDescent="0.45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 x14ac:dyDescent="0.45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 x14ac:dyDescent="0.45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 x14ac:dyDescent="0.45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 x14ac:dyDescent="0.45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 x14ac:dyDescent="0.45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 x14ac:dyDescent="0.45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 x14ac:dyDescent="0.45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 x14ac:dyDescent="0.45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 x14ac:dyDescent="0.45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 x14ac:dyDescent="0.45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 x14ac:dyDescent="0.45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 x14ac:dyDescent="0.45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 x14ac:dyDescent="0.45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 x14ac:dyDescent="0.45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 x14ac:dyDescent="0.45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 x14ac:dyDescent="0.45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 x14ac:dyDescent="0.45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 x14ac:dyDescent="0.45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 x14ac:dyDescent="0.45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 x14ac:dyDescent="0.45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 x14ac:dyDescent="0.45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x14ac:dyDescent="0.45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 x14ac:dyDescent="0.45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 x14ac:dyDescent="0.45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 x14ac:dyDescent="0.45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 x14ac:dyDescent="0.45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 x14ac:dyDescent="0.45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 x14ac:dyDescent="0.45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 x14ac:dyDescent="0.45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 x14ac:dyDescent="0.45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 x14ac:dyDescent="0.45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 x14ac:dyDescent="0.45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 x14ac:dyDescent="0.45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 x14ac:dyDescent="0.45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 x14ac:dyDescent="0.45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 x14ac:dyDescent="0.45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 x14ac:dyDescent="0.45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 x14ac:dyDescent="0.45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 x14ac:dyDescent="0.45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 x14ac:dyDescent="0.45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 x14ac:dyDescent="0.45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 x14ac:dyDescent="0.45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 x14ac:dyDescent="0.45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 x14ac:dyDescent="0.45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 x14ac:dyDescent="0.45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 x14ac:dyDescent="0.45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 x14ac:dyDescent="0.45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 x14ac:dyDescent="0.45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 x14ac:dyDescent="0.45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 x14ac:dyDescent="0.45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 x14ac:dyDescent="0.45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 x14ac:dyDescent="0.45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 x14ac:dyDescent="0.45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 x14ac:dyDescent="0.45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 x14ac:dyDescent="0.45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 x14ac:dyDescent="0.45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 x14ac:dyDescent="0.45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 x14ac:dyDescent="0.45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 x14ac:dyDescent="0.45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 x14ac:dyDescent="0.45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 x14ac:dyDescent="0.45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 x14ac:dyDescent="0.45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 x14ac:dyDescent="0.45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 x14ac:dyDescent="0.45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 x14ac:dyDescent="0.45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 x14ac:dyDescent="0.45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 x14ac:dyDescent="0.45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 x14ac:dyDescent="0.45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 x14ac:dyDescent="0.45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 x14ac:dyDescent="0.45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 x14ac:dyDescent="0.45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 x14ac:dyDescent="0.45">
      <c r="A463" s="2" t="s">
        <v>493</v>
      </c>
      <c r="B463" s="3">
        <v>45796</v>
      </c>
      <c r="C463" s="2" t="s">
        <v>17</v>
      </c>
      <c r="D463" s="2" t="s">
        <v>18</v>
      </c>
      <c r="E463" s="2"/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 x14ac:dyDescent="0.45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 x14ac:dyDescent="0.45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 x14ac:dyDescent="0.45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 x14ac:dyDescent="0.45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 x14ac:dyDescent="0.45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 x14ac:dyDescent="0.45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 x14ac:dyDescent="0.45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 x14ac:dyDescent="0.45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 x14ac:dyDescent="0.45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 x14ac:dyDescent="0.45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 x14ac:dyDescent="0.45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 x14ac:dyDescent="0.45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 x14ac:dyDescent="0.45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 x14ac:dyDescent="0.45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 x14ac:dyDescent="0.45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 x14ac:dyDescent="0.45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 x14ac:dyDescent="0.45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 x14ac:dyDescent="0.45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 x14ac:dyDescent="0.45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 x14ac:dyDescent="0.45">
      <c r="A483" s="2" t="s">
        <v>513</v>
      </c>
      <c r="B483" s="3">
        <v>45701</v>
      </c>
      <c r="C483" s="2" t="s">
        <v>17</v>
      </c>
      <c r="D483" s="2" t="s">
        <v>18</v>
      </c>
      <c r="E483" s="2"/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 x14ac:dyDescent="0.45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 x14ac:dyDescent="0.45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 x14ac:dyDescent="0.45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 x14ac:dyDescent="0.45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 x14ac:dyDescent="0.45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 x14ac:dyDescent="0.45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 x14ac:dyDescent="0.45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 x14ac:dyDescent="0.45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 x14ac:dyDescent="0.45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 x14ac:dyDescent="0.45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 x14ac:dyDescent="0.45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 x14ac:dyDescent="0.45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 x14ac:dyDescent="0.45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 x14ac:dyDescent="0.45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 x14ac:dyDescent="0.45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 x14ac:dyDescent="0.45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 x14ac:dyDescent="0.45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 x14ac:dyDescent="0.45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 x14ac:dyDescent="0.45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x14ac:dyDescent="0.45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 x14ac:dyDescent="0.45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 x14ac:dyDescent="0.45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 x14ac:dyDescent="0.45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 x14ac:dyDescent="0.45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 x14ac:dyDescent="0.45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 x14ac:dyDescent="0.45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 x14ac:dyDescent="0.45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 x14ac:dyDescent="0.45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 x14ac:dyDescent="0.45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 x14ac:dyDescent="0.45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 x14ac:dyDescent="0.45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 x14ac:dyDescent="0.45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 x14ac:dyDescent="0.45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 x14ac:dyDescent="0.45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 x14ac:dyDescent="0.45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 x14ac:dyDescent="0.45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 x14ac:dyDescent="0.45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 x14ac:dyDescent="0.45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 x14ac:dyDescent="0.45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 x14ac:dyDescent="0.45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 x14ac:dyDescent="0.45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 x14ac:dyDescent="0.45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 x14ac:dyDescent="0.45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 x14ac:dyDescent="0.45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 x14ac:dyDescent="0.45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 x14ac:dyDescent="0.45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 x14ac:dyDescent="0.45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 x14ac:dyDescent="0.45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 x14ac:dyDescent="0.45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 x14ac:dyDescent="0.45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 x14ac:dyDescent="0.45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 x14ac:dyDescent="0.45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 x14ac:dyDescent="0.45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 x14ac:dyDescent="0.45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 x14ac:dyDescent="0.45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 x14ac:dyDescent="0.45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 x14ac:dyDescent="0.45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 x14ac:dyDescent="0.45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 x14ac:dyDescent="0.45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 x14ac:dyDescent="0.45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 x14ac:dyDescent="0.45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 x14ac:dyDescent="0.45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 x14ac:dyDescent="0.45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 x14ac:dyDescent="0.45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 x14ac:dyDescent="0.45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 x14ac:dyDescent="0.45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 x14ac:dyDescent="0.45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 x14ac:dyDescent="0.45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 x14ac:dyDescent="0.45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 x14ac:dyDescent="0.45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 x14ac:dyDescent="0.45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 x14ac:dyDescent="0.45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 x14ac:dyDescent="0.45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 x14ac:dyDescent="0.45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 x14ac:dyDescent="0.45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 x14ac:dyDescent="0.45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 x14ac:dyDescent="0.45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 x14ac:dyDescent="0.45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 x14ac:dyDescent="0.45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 x14ac:dyDescent="0.45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 x14ac:dyDescent="0.45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 x14ac:dyDescent="0.45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 x14ac:dyDescent="0.45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 x14ac:dyDescent="0.45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 x14ac:dyDescent="0.45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 x14ac:dyDescent="0.45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 x14ac:dyDescent="0.45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 x14ac:dyDescent="0.45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 x14ac:dyDescent="0.45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 x14ac:dyDescent="0.45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 x14ac:dyDescent="0.45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 x14ac:dyDescent="0.45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 x14ac:dyDescent="0.45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 x14ac:dyDescent="0.45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 x14ac:dyDescent="0.45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 x14ac:dyDescent="0.45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 x14ac:dyDescent="0.45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 x14ac:dyDescent="0.45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 x14ac:dyDescent="0.45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 x14ac:dyDescent="0.45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 x14ac:dyDescent="0.45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 x14ac:dyDescent="0.45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 x14ac:dyDescent="0.45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 x14ac:dyDescent="0.45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 x14ac:dyDescent="0.45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 x14ac:dyDescent="0.45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 x14ac:dyDescent="0.45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 x14ac:dyDescent="0.45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 x14ac:dyDescent="0.45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 x14ac:dyDescent="0.45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 x14ac:dyDescent="0.45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 x14ac:dyDescent="0.45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 x14ac:dyDescent="0.45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 x14ac:dyDescent="0.45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 x14ac:dyDescent="0.45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 x14ac:dyDescent="0.45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 x14ac:dyDescent="0.45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 x14ac:dyDescent="0.45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 x14ac:dyDescent="0.45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 x14ac:dyDescent="0.45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 x14ac:dyDescent="0.45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 x14ac:dyDescent="0.45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 x14ac:dyDescent="0.45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 x14ac:dyDescent="0.45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 x14ac:dyDescent="0.45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 x14ac:dyDescent="0.45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 x14ac:dyDescent="0.45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 x14ac:dyDescent="0.45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 x14ac:dyDescent="0.45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 x14ac:dyDescent="0.45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 x14ac:dyDescent="0.45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 x14ac:dyDescent="0.45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 x14ac:dyDescent="0.45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 x14ac:dyDescent="0.45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 x14ac:dyDescent="0.45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 x14ac:dyDescent="0.45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 x14ac:dyDescent="0.45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 x14ac:dyDescent="0.45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 x14ac:dyDescent="0.45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 x14ac:dyDescent="0.45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 x14ac:dyDescent="0.45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 x14ac:dyDescent="0.45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 x14ac:dyDescent="0.45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 x14ac:dyDescent="0.45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 x14ac:dyDescent="0.45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 x14ac:dyDescent="0.45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 x14ac:dyDescent="0.45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 x14ac:dyDescent="0.45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 x14ac:dyDescent="0.45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 x14ac:dyDescent="0.45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 x14ac:dyDescent="0.45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 x14ac:dyDescent="0.45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 x14ac:dyDescent="0.45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 x14ac:dyDescent="0.45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 x14ac:dyDescent="0.45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 x14ac:dyDescent="0.45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 x14ac:dyDescent="0.45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 x14ac:dyDescent="0.45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 x14ac:dyDescent="0.45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 x14ac:dyDescent="0.45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 x14ac:dyDescent="0.45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 x14ac:dyDescent="0.45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 x14ac:dyDescent="0.45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 x14ac:dyDescent="0.45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 x14ac:dyDescent="0.45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 x14ac:dyDescent="0.45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 x14ac:dyDescent="0.45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 x14ac:dyDescent="0.45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 x14ac:dyDescent="0.45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 x14ac:dyDescent="0.45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 x14ac:dyDescent="0.45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 x14ac:dyDescent="0.45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 x14ac:dyDescent="0.45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 x14ac:dyDescent="0.45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 x14ac:dyDescent="0.45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 x14ac:dyDescent="0.45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 x14ac:dyDescent="0.45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 x14ac:dyDescent="0.45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 x14ac:dyDescent="0.45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 x14ac:dyDescent="0.45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 x14ac:dyDescent="0.45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 x14ac:dyDescent="0.45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 x14ac:dyDescent="0.45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 x14ac:dyDescent="0.45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 x14ac:dyDescent="0.45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 x14ac:dyDescent="0.45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 x14ac:dyDescent="0.45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 x14ac:dyDescent="0.45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 x14ac:dyDescent="0.45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 x14ac:dyDescent="0.45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 x14ac:dyDescent="0.45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 x14ac:dyDescent="0.45">
      <c r="A675" s="2" t="s">
        <v>705</v>
      </c>
      <c r="B675" s="3">
        <v>45737</v>
      </c>
      <c r="C675" s="2" t="s">
        <v>17</v>
      </c>
      <c r="D675" s="2" t="s">
        <v>32</v>
      </c>
      <c r="E675" s="2"/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 x14ac:dyDescent="0.45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 x14ac:dyDescent="0.45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 x14ac:dyDescent="0.45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 x14ac:dyDescent="0.45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 x14ac:dyDescent="0.45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 x14ac:dyDescent="0.45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 x14ac:dyDescent="0.45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 x14ac:dyDescent="0.45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 x14ac:dyDescent="0.45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 x14ac:dyDescent="0.45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 x14ac:dyDescent="0.45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 x14ac:dyDescent="0.45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 x14ac:dyDescent="0.45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 x14ac:dyDescent="0.45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 x14ac:dyDescent="0.45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 x14ac:dyDescent="0.45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 x14ac:dyDescent="0.45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 x14ac:dyDescent="0.45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 x14ac:dyDescent="0.45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 x14ac:dyDescent="0.45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 x14ac:dyDescent="0.45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 x14ac:dyDescent="0.45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 x14ac:dyDescent="0.45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 x14ac:dyDescent="0.45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 x14ac:dyDescent="0.45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 x14ac:dyDescent="0.45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 x14ac:dyDescent="0.45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x14ac:dyDescent="0.45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 x14ac:dyDescent="0.45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 x14ac:dyDescent="0.45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 x14ac:dyDescent="0.45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 x14ac:dyDescent="0.45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 x14ac:dyDescent="0.45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 x14ac:dyDescent="0.45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 x14ac:dyDescent="0.45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 x14ac:dyDescent="0.45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 x14ac:dyDescent="0.45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 x14ac:dyDescent="0.45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 x14ac:dyDescent="0.45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 x14ac:dyDescent="0.45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 x14ac:dyDescent="0.45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 x14ac:dyDescent="0.45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 x14ac:dyDescent="0.45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 x14ac:dyDescent="0.45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 x14ac:dyDescent="0.45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 x14ac:dyDescent="0.45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 x14ac:dyDescent="0.45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 x14ac:dyDescent="0.45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 x14ac:dyDescent="0.45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 x14ac:dyDescent="0.45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 x14ac:dyDescent="0.45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 x14ac:dyDescent="0.45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 x14ac:dyDescent="0.45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 x14ac:dyDescent="0.45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 x14ac:dyDescent="0.45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 x14ac:dyDescent="0.45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 x14ac:dyDescent="0.45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 x14ac:dyDescent="0.45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 x14ac:dyDescent="0.45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 x14ac:dyDescent="0.45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 x14ac:dyDescent="0.45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 x14ac:dyDescent="0.45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 x14ac:dyDescent="0.45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 x14ac:dyDescent="0.45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 x14ac:dyDescent="0.45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 x14ac:dyDescent="0.45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 x14ac:dyDescent="0.45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 x14ac:dyDescent="0.45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 x14ac:dyDescent="0.45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 x14ac:dyDescent="0.45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 x14ac:dyDescent="0.45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 x14ac:dyDescent="0.45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 x14ac:dyDescent="0.45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 x14ac:dyDescent="0.45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 x14ac:dyDescent="0.45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 x14ac:dyDescent="0.45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 x14ac:dyDescent="0.45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 x14ac:dyDescent="0.45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 x14ac:dyDescent="0.45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 x14ac:dyDescent="0.45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 x14ac:dyDescent="0.45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 x14ac:dyDescent="0.45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 x14ac:dyDescent="0.45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 x14ac:dyDescent="0.45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 x14ac:dyDescent="0.45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 x14ac:dyDescent="0.45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 x14ac:dyDescent="0.45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 x14ac:dyDescent="0.45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 x14ac:dyDescent="0.45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 x14ac:dyDescent="0.45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 x14ac:dyDescent="0.45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 x14ac:dyDescent="0.45">
      <c r="A767" s="2" t="s">
        <v>798</v>
      </c>
      <c r="B767" s="3">
        <v>45671</v>
      </c>
      <c r="C767" s="2" t="s">
        <v>723</v>
      </c>
      <c r="D767" s="2" t="s">
        <v>23</v>
      </c>
      <c r="E767" s="2"/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 x14ac:dyDescent="0.45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 x14ac:dyDescent="0.45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 x14ac:dyDescent="0.45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 x14ac:dyDescent="0.45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 x14ac:dyDescent="0.45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 x14ac:dyDescent="0.45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 x14ac:dyDescent="0.45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 x14ac:dyDescent="0.45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 x14ac:dyDescent="0.45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 x14ac:dyDescent="0.45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 x14ac:dyDescent="0.45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 x14ac:dyDescent="0.45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 x14ac:dyDescent="0.45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 x14ac:dyDescent="0.45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 x14ac:dyDescent="0.45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 x14ac:dyDescent="0.45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 x14ac:dyDescent="0.45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 x14ac:dyDescent="0.45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 x14ac:dyDescent="0.45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 x14ac:dyDescent="0.45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 x14ac:dyDescent="0.45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 x14ac:dyDescent="0.45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 x14ac:dyDescent="0.45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 x14ac:dyDescent="0.45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 x14ac:dyDescent="0.45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 x14ac:dyDescent="0.45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 x14ac:dyDescent="0.45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 x14ac:dyDescent="0.45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 x14ac:dyDescent="0.45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 x14ac:dyDescent="0.45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 x14ac:dyDescent="0.45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 x14ac:dyDescent="0.45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 x14ac:dyDescent="0.45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 x14ac:dyDescent="0.45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 x14ac:dyDescent="0.45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 x14ac:dyDescent="0.45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 x14ac:dyDescent="0.45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 x14ac:dyDescent="0.45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 x14ac:dyDescent="0.45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x14ac:dyDescent="0.45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 x14ac:dyDescent="0.45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 x14ac:dyDescent="0.45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 x14ac:dyDescent="0.45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 x14ac:dyDescent="0.45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 x14ac:dyDescent="0.45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 x14ac:dyDescent="0.45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 x14ac:dyDescent="0.45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 x14ac:dyDescent="0.45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 x14ac:dyDescent="0.45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 x14ac:dyDescent="0.45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 x14ac:dyDescent="0.45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 x14ac:dyDescent="0.45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 x14ac:dyDescent="0.45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x14ac:dyDescent="0.45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 x14ac:dyDescent="0.45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 x14ac:dyDescent="0.45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 x14ac:dyDescent="0.45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 x14ac:dyDescent="0.45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 x14ac:dyDescent="0.45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x14ac:dyDescent="0.45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 x14ac:dyDescent="0.45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 x14ac:dyDescent="0.45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 x14ac:dyDescent="0.45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 x14ac:dyDescent="0.45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 x14ac:dyDescent="0.45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 x14ac:dyDescent="0.45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 x14ac:dyDescent="0.45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x14ac:dyDescent="0.45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 x14ac:dyDescent="0.45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 x14ac:dyDescent="0.45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 x14ac:dyDescent="0.45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x14ac:dyDescent="0.45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 x14ac:dyDescent="0.45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 x14ac:dyDescent="0.45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 x14ac:dyDescent="0.45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 x14ac:dyDescent="0.45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 x14ac:dyDescent="0.45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 x14ac:dyDescent="0.45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 x14ac:dyDescent="0.45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 x14ac:dyDescent="0.45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 x14ac:dyDescent="0.45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 x14ac:dyDescent="0.45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 x14ac:dyDescent="0.45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 x14ac:dyDescent="0.45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 x14ac:dyDescent="0.45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 x14ac:dyDescent="0.45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 x14ac:dyDescent="0.45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 x14ac:dyDescent="0.45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 x14ac:dyDescent="0.45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x14ac:dyDescent="0.45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 x14ac:dyDescent="0.45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 x14ac:dyDescent="0.45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 x14ac:dyDescent="0.45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x14ac:dyDescent="0.45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 x14ac:dyDescent="0.45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 x14ac:dyDescent="0.45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 x14ac:dyDescent="0.45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 x14ac:dyDescent="0.45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 x14ac:dyDescent="0.45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 x14ac:dyDescent="0.45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 x14ac:dyDescent="0.45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 x14ac:dyDescent="0.45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 x14ac:dyDescent="0.45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 x14ac:dyDescent="0.45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 x14ac:dyDescent="0.45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 x14ac:dyDescent="0.45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 x14ac:dyDescent="0.45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 x14ac:dyDescent="0.45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 x14ac:dyDescent="0.45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 x14ac:dyDescent="0.45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 x14ac:dyDescent="0.45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 x14ac:dyDescent="0.45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 x14ac:dyDescent="0.45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 x14ac:dyDescent="0.45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 x14ac:dyDescent="0.45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 x14ac:dyDescent="0.45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 x14ac:dyDescent="0.45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 x14ac:dyDescent="0.45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 x14ac:dyDescent="0.45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 x14ac:dyDescent="0.45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 x14ac:dyDescent="0.45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 x14ac:dyDescent="0.45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 x14ac:dyDescent="0.45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x14ac:dyDescent="0.45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 x14ac:dyDescent="0.45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 x14ac:dyDescent="0.45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 x14ac:dyDescent="0.45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 x14ac:dyDescent="0.45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 x14ac:dyDescent="0.45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 x14ac:dyDescent="0.45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 x14ac:dyDescent="0.45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 x14ac:dyDescent="0.45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/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 x14ac:dyDescent="0.45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 x14ac:dyDescent="0.45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 x14ac:dyDescent="0.45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 x14ac:dyDescent="0.45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 x14ac:dyDescent="0.45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 x14ac:dyDescent="0.45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 x14ac:dyDescent="0.45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x14ac:dyDescent="0.45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 x14ac:dyDescent="0.45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 x14ac:dyDescent="0.45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 x14ac:dyDescent="0.45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 x14ac:dyDescent="0.45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 x14ac:dyDescent="0.45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 x14ac:dyDescent="0.45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 x14ac:dyDescent="0.45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 x14ac:dyDescent="0.45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 x14ac:dyDescent="0.45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 x14ac:dyDescent="0.45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 x14ac:dyDescent="0.45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 x14ac:dyDescent="0.45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 x14ac:dyDescent="0.45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 x14ac:dyDescent="0.45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 x14ac:dyDescent="0.45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x14ac:dyDescent="0.45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 x14ac:dyDescent="0.45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 x14ac:dyDescent="0.45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 x14ac:dyDescent="0.45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 x14ac:dyDescent="0.45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 x14ac:dyDescent="0.45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 x14ac:dyDescent="0.45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 x14ac:dyDescent="0.45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 x14ac:dyDescent="0.45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 x14ac:dyDescent="0.45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x14ac:dyDescent="0.45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 x14ac:dyDescent="0.45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 x14ac:dyDescent="0.45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 x14ac:dyDescent="0.45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 x14ac:dyDescent="0.45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 x14ac:dyDescent="0.45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 x14ac:dyDescent="0.45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 x14ac:dyDescent="0.45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 x14ac:dyDescent="0.45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 x14ac:dyDescent="0.45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 x14ac:dyDescent="0.45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 x14ac:dyDescent="0.45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x14ac:dyDescent="0.45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 x14ac:dyDescent="0.45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 x14ac:dyDescent="0.45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 x14ac:dyDescent="0.45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 x14ac:dyDescent="0.45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 x14ac:dyDescent="0.45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 x14ac:dyDescent="0.45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 x14ac:dyDescent="0.45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 x14ac:dyDescent="0.45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/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 x14ac:dyDescent="0.45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 x14ac:dyDescent="0.45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 x14ac:dyDescent="0.45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 x14ac:dyDescent="0.45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 x14ac:dyDescent="0.45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 x14ac:dyDescent="0.45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 x14ac:dyDescent="0.45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 x14ac:dyDescent="0.45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 x14ac:dyDescent="0.45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 x14ac:dyDescent="0.45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 x14ac:dyDescent="0.45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 x14ac:dyDescent="0.45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 x14ac:dyDescent="0.45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 x14ac:dyDescent="0.45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 x14ac:dyDescent="0.45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 x14ac:dyDescent="0.45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 x14ac:dyDescent="0.45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 x14ac:dyDescent="0.45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 x14ac:dyDescent="0.45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 x14ac:dyDescent="0.45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 x14ac:dyDescent="0.45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 x14ac:dyDescent="0.45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 x14ac:dyDescent="0.45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 x14ac:dyDescent="0.45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 x14ac:dyDescent="0.45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 x14ac:dyDescent="0.45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 x14ac:dyDescent="0.45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 x14ac:dyDescent="0.45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 x14ac:dyDescent="0.45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 x14ac:dyDescent="0.45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 x14ac:dyDescent="0.45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 x14ac:dyDescent="0.45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 x14ac:dyDescent="0.45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 x14ac:dyDescent="0.45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 x14ac:dyDescent="0.45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 x14ac:dyDescent="0.45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 x14ac:dyDescent="0.45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 x14ac:dyDescent="0.45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 x14ac:dyDescent="0.45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 x14ac:dyDescent="0.45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 x14ac:dyDescent="0.45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x14ac:dyDescent="0.45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 x14ac:dyDescent="0.45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 x14ac:dyDescent="0.45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 x14ac:dyDescent="0.45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x14ac:dyDescent="0.45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 x14ac:dyDescent="0.45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 x14ac:dyDescent="0.45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 x14ac:dyDescent="0.45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 x14ac:dyDescent="0.45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 x14ac:dyDescent="0.45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 x14ac:dyDescent="0.45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 x14ac:dyDescent="0.45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 x14ac:dyDescent="0.45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 x14ac:dyDescent="0.45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 x14ac:dyDescent="0.45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 x14ac:dyDescent="0.45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 x14ac:dyDescent="0.45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 x14ac:dyDescent="0.45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 x14ac:dyDescent="0.45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 x14ac:dyDescent="0.45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 x14ac:dyDescent="0.45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 x14ac:dyDescent="0.45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 x14ac:dyDescent="0.45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 x14ac:dyDescent="0.45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 x14ac:dyDescent="0.45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/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 x14ac:dyDescent="0.45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 x14ac:dyDescent="0.45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 x14ac:dyDescent="0.45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 x14ac:dyDescent="0.45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 x14ac:dyDescent="0.45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 x14ac:dyDescent="0.45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 x14ac:dyDescent="0.45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x14ac:dyDescent="0.45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 x14ac:dyDescent="0.45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 x14ac:dyDescent="0.45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 x14ac:dyDescent="0.45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 x14ac:dyDescent="0.45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 x14ac:dyDescent="0.45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 x14ac:dyDescent="0.45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 x14ac:dyDescent="0.45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 x14ac:dyDescent="0.45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 x14ac:dyDescent="0.45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 x14ac:dyDescent="0.45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 x14ac:dyDescent="0.45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 x14ac:dyDescent="0.45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 x14ac:dyDescent="0.45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 x14ac:dyDescent="0.45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 x14ac:dyDescent="0.45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 x14ac:dyDescent="0.45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 x14ac:dyDescent="0.45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 x14ac:dyDescent="0.45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 x14ac:dyDescent="0.45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 x14ac:dyDescent="0.45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 x14ac:dyDescent="0.45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 x14ac:dyDescent="0.45">
      <c r="A1049" s="2" t="s">
        <v>1080</v>
      </c>
      <c r="B1049" s="3">
        <v>45708</v>
      </c>
      <c r="C1049" s="2" t="s">
        <v>723</v>
      </c>
      <c r="D1049" s="2" t="s">
        <v>28</v>
      </c>
      <c r="E1049" s="2"/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 x14ac:dyDescent="0.45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 x14ac:dyDescent="0.45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 x14ac:dyDescent="0.45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 x14ac:dyDescent="0.45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 x14ac:dyDescent="0.45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x14ac:dyDescent="0.45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 x14ac:dyDescent="0.45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 x14ac:dyDescent="0.45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 x14ac:dyDescent="0.45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 x14ac:dyDescent="0.45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 x14ac:dyDescent="0.45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 x14ac:dyDescent="0.45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 x14ac:dyDescent="0.45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 x14ac:dyDescent="0.45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 x14ac:dyDescent="0.45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 x14ac:dyDescent="0.45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 x14ac:dyDescent="0.45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 x14ac:dyDescent="0.45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 x14ac:dyDescent="0.45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 x14ac:dyDescent="0.45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 x14ac:dyDescent="0.45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 x14ac:dyDescent="0.45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 x14ac:dyDescent="0.45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 x14ac:dyDescent="0.45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 x14ac:dyDescent="0.45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 x14ac:dyDescent="0.45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 x14ac:dyDescent="0.45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 x14ac:dyDescent="0.45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 x14ac:dyDescent="0.45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 x14ac:dyDescent="0.45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 x14ac:dyDescent="0.45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 x14ac:dyDescent="0.45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 x14ac:dyDescent="0.45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 x14ac:dyDescent="0.45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 x14ac:dyDescent="0.45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 x14ac:dyDescent="0.45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 x14ac:dyDescent="0.45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 x14ac:dyDescent="0.45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 x14ac:dyDescent="0.45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 x14ac:dyDescent="0.45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 x14ac:dyDescent="0.45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 x14ac:dyDescent="0.45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 x14ac:dyDescent="0.45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 x14ac:dyDescent="0.45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 x14ac:dyDescent="0.45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 x14ac:dyDescent="0.45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 x14ac:dyDescent="0.45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 x14ac:dyDescent="0.45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 x14ac:dyDescent="0.45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 x14ac:dyDescent="0.45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 x14ac:dyDescent="0.45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 x14ac:dyDescent="0.45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 x14ac:dyDescent="0.45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 x14ac:dyDescent="0.45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 x14ac:dyDescent="0.45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 x14ac:dyDescent="0.45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 x14ac:dyDescent="0.45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 x14ac:dyDescent="0.45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 x14ac:dyDescent="0.45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 x14ac:dyDescent="0.45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 x14ac:dyDescent="0.45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 x14ac:dyDescent="0.45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 x14ac:dyDescent="0.45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 x14ac:dyDescent="0.45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 x14ac:dyDescent="0.45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 x14ac:dyDescent="0.45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 x14ac:dyDescent="0.45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 x14ac:dyDescent="0.45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 x14ac:dyDescent="0.45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 x14ac:dyDescent="0.45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 x14ac:dyDescent="0.45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 x14ac:dyDescent="0.45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 x14ac:dyDescent="0.45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 x14ac:dyDescent="0.45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 x14ac:dyDescent="0.45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 x14ac:dyDescent="0.45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 x14ac:dyDescent="0.45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 x14ac:dyDescent="0.45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 x14ac:dyDescent="0.45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 x14ac:dyDescent="0.45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 x14ac:dyDescent="0.45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 x14ac:dyDescent="0.45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 x14ac:dyDescent="0.45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 x14ac:dyDescent="0.45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 x14ac:dyDescent="0.45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 x14ac:dyDescent="0.45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/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 x14ac:dyDescent="0.45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 x14ac:dyDescent="0.45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 x14ac:dyDescent="0.45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 x14ac:dyDescent="0.45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 x14ac:dyDescent="0.45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 x14ac:dyDescent="0.45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 x14ac:dyDescent="0.45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 x14ac:dyDescent="0.45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 x14ac:dyDescent="0.45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 x14ac:dyDescent="0.45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 x14ac:dyDescent="0.45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x14ac:dyDescent="0.45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 x14ac:dyDescent="0.45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x14ac:dyDescent="0.45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/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 x14ac:dyDescent="0.45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 x14ac:dyDescent="0.45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 x14ac:dyDescent="0.45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 x14ac:dyDescent="0.45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 x14ac:dyDescent="0.45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 x14ac:dyDescent="0.45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 x14ac:dyDescent="0.45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 x14ac:dyDescent="0.45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 x14ac:dyDescent="0.45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 x14ac:dyDescent="0.45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 x14ac:dyDescent="0.45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 x14ac:dyDescent="0.45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 x14ac:dyDescent="0.45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 x14ac:dyDescent="0.45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 x14ac:dyDescent="0.45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 x14ac:dyDescent="0.45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 x14ac:dyDescent="0.45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 x14ac:dyDescent="0.45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 x14ac:dyDescent="0.45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 x14ac:dyDescent="0.45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 x14ac:dyDescent="0.45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 x14ac:dyDescent="0.45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 x14ac:dyDescent="0.45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 x14ac:dyDescent="0.45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 x14ac:dyDescent="0.45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 x14ac:dyDescent="0.45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 x14ac:dyDescent="0.45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 x14ac:dyDescent="0.45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 x14ac:dyDescent="0.45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 x14ac:dyDescent="0.45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 x14ac:dyDescent="0.45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x14ac:dyDescent="0.45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 x14ac:dyDescent="0.45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 x14ac:dyDescent="0.45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 x14ac:dyDescent="0.45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 x14ac:dyDescent="0.45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 x14ac:dyDescent="0.45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 x14ac:dyDescent="0.45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 x14ac:dyDescent="0.45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 x14ac:dyDescent="0.45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 x14ac:dyDescent="0.45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 x14ac:dyDescent="0.45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 x14ac:dyDescent="0.45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 x14ac:dyDescent="0.45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 x14ac:dyDescent="0.45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 x14ac:dyDescent="0.45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 x14ac:dyDescent="0.45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 x14ac:dyDescent="0.45">
      <c r="A1197" s="2" t="s">
        <v>1228</v>
      </c>
      <c r="B1197" s="3">
        <v>45710</v>
      </c>
      <c r="C1197" s="2" t="s">
        <v>723</v>
      </c>
      <c r="D1197" s="2" t="s">
        <v>18</v>
      </c>
      <c r="E1197" s="2"/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 x14ac:dyDescent="0.45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 x14ac:dyDescent="0.45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 x14ac:dyDescent="0.45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 x14ac:dyDescent="0.45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 x14ac:dyDescent="0.45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 x14ac:dyDescent="0.45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 x14ac:dyDescent="0.45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 x14ac:dyDescent="0.45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 x14ac:dyDescent="0.45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 x14ac:dyDescent="0.45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 x14ac:dyDescent="0.45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 x14ac:dyDescent="0.45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 x14ac:dyDescent="0.45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 x14ac:dyDescent="0.45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 x14ac:dyDescent="0.45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 x14ac:dyDescent="0.45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 x14ac:dyDescent="0.45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 x14ac:dyDescent="0.45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 x14ac:dyDescent="0.45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 x14ac:dyDescent="0.45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 x14ac:dyDescent="0.45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 x14ac:dyDescent="0.45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 x14ac:dyDescent="0.45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 x14ac:dyDescent="0.45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 x14ac:dyDescent="0.45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 x14ac:dyDescent="0.45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 x14ac:dyDescent="0.45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 x14ac:dyDescent="0.45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 x14ac:dyDescent="0.45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 x14ac:dyDescent="0.45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 x14ac:dyDescent="0.45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 x14ac:dyDescent="0.45">
      <c r="A1229" s="2" t="s">
        <v>1260</v>
      </c>
      <c r="B1229" s="3">
        <v>45739</v>
      </c>
      <c r="C1229" s="2" t="s">
        <v>723</v>
      </c>
      <c r="D1229" s="2" t="s">
        <v>28</v>
      </c>
      <c r="E1229" s="2"/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 x14ac:dyDescent="0.45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 x14ac:dyDescent="0.45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 x14ac:dyDescent="0.45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 x14ac:dyDescent="0.45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 x14ac:dyDescent="0.45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 x14ac:dyDescent="0.45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 x14ac:dyDescent="0.45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 x14ac:dyDescent="0.45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/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 x14ac:dyDescent="0.45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x14ac:dyDescent="0.45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 x14ac:dyDescent="0.45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 x14ac:dyDescent="0.45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/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 x14ac:dyDescent="0.45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 x14ac:dyDescent="0.45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 x14ac:dyDescent="0.45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 x14ac:dyDescent="0.45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 x14ac:dyDescent="0.45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 x14ac:dyDescent="0.45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 x14ac:dyDescent="0.45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 x14ac:dyDescent="0.45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 x14ac:dyDescent="0.45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 x14ac:dyDescent="0.45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 x14ac:dyDescent="0.45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x14ac:dyDescent="0.45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 x14ac:dyDescent="0.45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 x14ac:dyDescent="0.45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 x14ac:dyDescent="0.45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 x14ac:dyDescent="0.45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/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 x14ac:dyDescent="0.45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 x14ac:dyDescent="0.45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 x14ac:dyDescent="0.45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 x14ac:dyDescent="0.45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 x14ac:dyDescent="0.45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 x14ac:dyDescent="0.45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 x14ac:dyDescent="0.45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 x14ac:dyDescent="0.45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 x14ac:dyDescent="0.45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 x14ac:dyDescent="0.45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 x14ac:dyDescent="0.45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 x14ac:dyDescent="0.45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 x14ac:dyDescent="0.45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 x14ac:dyDescent="0.45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 x14ac:dyDescent="0.45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 x14ac:dyDescent="0.45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 x14ac:dyDescent="0.45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 x14ac:dyDescent="0.45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 x14ac:dyDescent="0.45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 x14ac:dyDescent="0.45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 x14ac:dyDescent="0.45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 x14ac:dyDescent="0.45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 x14ac:dyDescent="0.45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 x14ac:dyDescent="0.45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 x14ac:dyDescent="0.45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 x14ac:dyDescent="0.45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 x14ac:dyDescent="0.45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 x14ac:dyDescent="0.45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 x14ac:dyDescent="0.45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 x14ac:dyDescent="0.45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 x14ac:dyDescent="0.45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 x14ac:dyDescent="0.45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 x14ac:dyDescent="0.45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 x14ac:dyDescent="0.45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 x14ac:dyDescent="0.45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 x14ac:dyDescent="0.45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 x14ac:dyDescent="0.45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 x14ac:dyDescent="0.45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 x14ac:dyDescent="0.45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 x14ac:dyDescent="0.45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 x14ac:dyDescent="0.45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x14ac:dyDescent="0.45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 x14ac:dyDescent="0.45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 x14ac:dyDescent="0.45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 x14ac:dyDescent="0.45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 x14ac:dyDescent="0.45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 x14ac:dyDescent="0.45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 x14ac:dyDescent="0.45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 x14ac:dyDescent="0.45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 x14ac:dyDescent="0.45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 x14ac:dyDescent="0.45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 x14ac:dyDescent="0.45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 x14ac:dyDescent="0.45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 x14ac:dyDescent="0.45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 x14ac:dyDescent="0.45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x14ac:dyDescent="0.45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 x14ac:dyDescent="0.45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 x14ac:dyDescent="0.45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 x14ac:dyDescent="0.45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 x14ac:dyDescent="0.45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 x14ac:dyDescent="0.45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 x14ac:dyDescent="0.45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 x14ac:dyDescent="0.45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x14ac:dyDescent="0.45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 x14ac:dyDescent="0.45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 x14ac:dyDescent="0.45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 x14ac:dyDescent="0.45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 x14ac:dyDescent="0.45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 x14ac:dyDescent="0.45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 x14ac:dyDescent="0.45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 x14ac:dyDescent="0.45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 x14ac:dyDescent="0.45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/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 x14ac:dyDescent="0.45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 x14ac:dyDescent="0.45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 x14ac:dyDescent="0.45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 x14ac:dyDescent="0.45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 x14ac:dyDescent="0.45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 x14ac:dyDescent="0.45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 x14ac:dyDescent="0.45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 x14ac:dyDescent="0.45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 x14ac:dyDescent="0.45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 x14ac:dyDescent="0.45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 x14ac:dyDescent="0.45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 x14ac:dyDescent="0.45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 x14ac:dyDescent="0.45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 x14ac:dyDescent="0.45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 x14ac:dyDescent="0.45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 x14ac:dyDescent="0.45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 x14ac:dyDescent="0.45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 x14ac:dyDescent="0.45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 x14ac:dyDescent="0.45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 x14ac:dyDescent="0.45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 x14ac:dyDescent="0.45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 x14ac:dyDescent="0.45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 x14ac:dyDescent="0.45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 x14ac:dyDescent="0.45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 x14ac:dyDescent="0.45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 x14ac:dyDescent="0.45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 x14ac:dyDescent="0.45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 x14ac:dyDescent="0.45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/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 x14ac:dyDescent="0.45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 x14ac:dyDescent="0.45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 x14ac:dyDescent="0.45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 x14ac:dyDescent="0.45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 x14ac:dyDescent="0.45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 x14ac:dyDescent="0.45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 x14ac:dyDescent="0.45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 x14ac:dyDescent="0.45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 x14ac:dyDescent="0.45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 x14ac:dyDescent="0.45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 x14ac:dyDescent="0.45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 x14ac:dyDescent="0.45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 x14ac:dyDescent="0.45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 x14ac:dyDescent="0.45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 x14ac:dyDescent="0.45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 x14ac:dyDescent="0.45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 x14ac:dyDescent="0.45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 x14ac:dyDescent="0.45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 x14ac:dyDescent="0.45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 x14ac:dyDescent="0.45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 x14ac:dyDescent="0.45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 x14ac:dyDescent="0.45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 x14ac:dyDescent="0.45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x14ac:dyDescent="0.45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 x14ac:dyDescent="0.45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 x14ac:dyDescent="0.45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 x14ac:dyDescent="0.45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 x14ac:dyDescent="0.45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 x14ac:dyDescent="0.45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 x14ac:dyDescent="0.45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 x14ac:dyDescent="0.45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 x14ac:dyDescent="0.45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 x14ac:dyDescent="0.45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 x14ac:dyDescent="0.45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 x14ac:dyDescent="0.45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 x14ac:dyDescent="0.45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 x14ac:dyDescent="0.45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 x14ac:dyDescent="0.45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 x14ac:dyDescent="0.45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 x14ac:dyDescent="0.45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/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 x14ac:dyDescent="0.45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 x14ac:dyDescent="0.45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 x14ac:dyDescent="0.45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 x14ac:dyDescent="0.45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4" spans="1:16" x14ac:dyDescent="0.45">
      <c r="A1404" s="17" t="s">
        <v>1477</v>
      </c>
      <c r="B1404" s="18"/>
    </row>
    <row r="1405" spans="1:16" ht="18" customHeight="1" x14ac:dyDescent="0.45">
      <c r="A1405" s="9" t="s">
        <v>1466</v>
      </c>
      <c r="B1405" s="10">
        <f>COUNTA(A2:A1401)</f>
        <v>1400</v>
      </c>
    </row>
    <row r="1406" spans="1:16" ht="18" customHeight="1" x14ac:dyDescent="0.45">
      <c r="A1406" s="11" t="s">
        <v>1467</v>
      </c>
      <c r="B1406" s="12">
        <f>COUNTIF(C2:C1401,"Control")</f>
        <v>690</v>
      </c>
    </row>
    <row r="1407" spans="1:16" ht="18" customHeight="1" x14ac:dyDescent="0.45">
      <c r="A1407" s="9" t="s">
        <v>1468</v>
      </c>
      <c r="B1407" s="10">
        <f>COUNTIF(C2:C1401,"Treatment")</f>
        <v>710</v>
      </c>
    </row>
    <row r="1408" spans="1:16" ht="18" customHeight="1" x14ac:dyDescent="0.45">
      <c r="A1408" s="11" t="s">
        <v>1469</v>
      </c>
      <c r="B1408" s="12">
        <f>SUM(K2:K1401)</f>
        <v>72</v>
      </c>
    </row>
    <row r="1409" spans="1:2" ht="18" customHeight="1" x14ac:dyDescent="0.45">
      <c r="A1409" s="9" t="s">
        <v>1470</v>
      </c>
      <c r="B1409" s="10">
        <f>COUNTIFS(C2:C1401,"Control",K2:K1401,1)</f>
        <v>22</v>
      </c>
    </row>
    <row r="1410" spans="1:2" ht="18" customHeight="1" x14ac:dyDescent="0.45">
      <c r="A1410" s="11" t="s">
        <v>1471</v>
      </c>
      <c r="B1410" s="12">
        <f>COUNTIFS(C2:C1401,"Treatment",K2:K1401,1)</f>
        <v>50</v>
      </c>
    </row>
    <row r="1411" spans="1:2" ht="18" customHeight="1" x14ac:dyDescent="0.45">
      <c r="A1411" s="9" t="s">
        <v>1472</v>
      </c>
      <c r="B1411" s="13">
        <f>SUM(K2:K1401)/COUNTA(A2:A1401)</f>
        <v>5.1428571428571428E-2</v>
      </c>
    </row>
    <row r="1412" spans="1:2" ht="18" customHeight="1" x14ac:dyDescent="0.45">
      <c r="A1412" s="11" t="s">
        <v>1473</v>
      </c>
      <c r="B1412" s="14">
        <f>COUNTIFS(C2:C1401,"Control",K2:K1401,1)/COUNTIF(C2:C1401,"Control")</f>
        <v>3.1884057971014491E-2</v>
      </c>
    </row>
    <row r="1413" spans="1:2" ht="18" customHeight="1" x14ac:dyDescent="0.45">
      <c r="A1413" s="9" t="s">
        <v>1474</v>
      </c>
      <c r="B1413" s="13">
        <f>COUNTIFS(C2:C1401,"Treatment",K2:K1401,1)/COUNTIF(C2:C1401,"Treatment")</f>
        <v>7.0422535211267609E-2</v>
      </c>
    </row>
    <row r="1414" spans="1:2" ht="18" customHeight="1" x14ac:dyDescent="0.45">
      <c r="A1414" s="11" t="s">
        <v>1475</v>
      </c>
      <c r="B1414" s="15">
        <f>SUM(L2:L1401)</f>
        <v>74382.989999999991</v>
      </c>
    </row>
    <row r="1415" spans="1:2" ht="18" customHeight="1" x14ac:dyDescent="0.45">
      <c r="A1415" s="9" t="s">
        <v>1476</v>
      </c>
      <c r="B1415" s="16">
        <f>AVERAGE(P2:P1401)</f>
        <v>60.023160173160164</v>
      </c>
    </row>
  </sheetData>
  <autoFilter ref="A1:P1401" xr:uid="{00000000-0001-0000-0200-000000000000}"/>
  <mergeCells count="1">
    <mergeCell ref="A1404:B14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Quality Checks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Venkatraman Prabhu</dc:creator>
  <cp:lastModifiedBy>Venkatraman Prabhu</cp:lastModifiedBy>
  <dcterms:created xsi:type="dcterms:W3CDTF">2026-06-23T07:46:57Z</dcterms:created>
  <dcterms:modified xsi:type="dcterms:W3CDTF">2026-06-24T11:09:43Z</dcterms:modified>
</cp:coreProperties>
</file>